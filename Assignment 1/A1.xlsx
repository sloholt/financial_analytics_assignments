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ane\OneDrive\Desktop\UT\Financial Analytics\Assignments\"/>
    </mc:Choice>
  </mc:AlternateContent>
  <xr:revisionPtr revIDLastSave="0" documentId="13_ncr:1_{C2EC5920-7272-456B-80F9-667A447B162D}" xr6:coauthVersionLast="47" xr6:coauthVersionMax="47" xr10:uidLastSave="{00000000-0000-0000-0000-000000000000}"/>
  <bookViews>
    <workbookView xWindow="9846" yWindow="0" windowWidth="13272" windowHeight="13758" xr2:uid="{44C43571-FD71-41B3-BE7A-AFF9CCA37847}"/>
  </bookViews>
  <sheets>
    <sheet name="Sheet1" sheetId="1" r:id="rId1"/>
  </sheets>
  <definedNames>
    <definedName name="FV">Sheet1!#REF!</definedName>
    <definedName name="n">Sheet1!#REF!</definedName>
    <definedName name="nper">Sheet1!#REF!</definedName>
    <definedName name="pmt">Sheet1!#REF!</definedName>
    <definedName name="pv">Sheet1!#REF!</definedName>
    <definedName name="rate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1" i="1"/>
  <c r="C25" i="1"/>
</calcChain>
</file>

<file path=xl/sharedStrings.xml><?xml version="1.0" encoding="utf-8"?>
<sst xmlns="http://schemas.openxmlformats.org/spreadsheetml/2006/main" count="56" uniqueCount="27">
  <si>
    <t>Variable:</t>
  </si>
  <si>
    <t>Value:</t>
  </si>
  <si>
    <t>Name:</t>
  </si>
  <si>
    <t>Future Value</t>
  </si>
  <si>
    <t>FV</t>
  </si>
  <si>
    <t>Discount rate</t>
  </si>
  <si>
    <t>rate</t>
  </si>
  <si>
    <t>nper</t>
  </si>
  <si>
    <t>Payments each period</t>
  </si>
  <si>
    <t>pmt</t>
  </si>
  <si>
    <t>Present Value</t>
  </si>
  <si>
    <t>Formula:</t>
  </si>
  <si>
    <t xml:space="preserve">Problem 1: </t>
  </si>
  <si>
    <t>Discount Rate</t>
  </si>
  <si>
    <t>Number of periods</t>
  </si>
  <si>
    <t>PV</t>
  </si>
  <si>
    <t xml:space="preserve">Problem 2: </t>
  </si>
  <si>
    <t xml:space="preserve">Problem 3: </t>
  </si>
  <si>
    <t>PVA</t>
  </si>
  <si>
    <t xml:space="preserve">Present Value Annuity </t>
  </si>
  <si>
    <t xml:space="preserve">Problem 4: </t>
  </si>
  <si>
    <t xml:space="preserve">Problem 5: </t>
  </si>
  <si>
    <t>Initiall Cash Flow</t>
  </si>
  <si>
    <t>CF0</t>
  </si>
  <si>
    <t>FV/(1+rate)^nper</t>
  </si>
  <si>
    <t>(FV/PV)^(1/nper)-1</t>
  </si>
  <si>
    <t>pmt*((1-(1+rate)^-nper)/rate)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</si>
</sst>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3" borderId="0" xfId="0" applyNumberFormat="1" applyFill="1"/>
    <xf numFmtId="3" fontId="0" fillId="0" borderId="0" xfId="0" applyNumberFormat="1"/>
    <xf numFmtId="165" fontId="0" fillId="0" borderId="0" xfId="0" applyNumberFormat="1"/>
    <xf numFmtId="10" fontId="0" fillId="3" borderId="0" xfId="0" applyNumberFormat="1" applyFill="1"/>
    <xf numFmtId="0" fontId="0" fillId="3" borderId="0" xfId="0" applyFill="1"/>
    <xf numFmtId="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A848-0EDE-472C-81C4-815DF5B50971}">
  <dimension ref="A1:F33"/>
  <sheetViews>
    <sheetView tabSelected="1" topLeftCell="A7" workbookViewId="0">
      <selection activeCell="D25" sqref="D25"/>
    </sheetView>
  </sheetViews>
  <sheetFormatPr defaultRowHeight="14.4" x14ac:dyDescent="0.55000000000000004"/>
  <cols>
    <col min="1" max="1" width="22.83984375" customWidth="1"/>
    <col min="2" max="2" width="18.05078125" customWidth="1"/>
    <col min="3" max="3" width="13.3125" bestFit="1" customWidth="1"/>
    <col min="4" max="4" width="25.15625" customWidth="1"/>
  </cols>
  <sheetData>
    <row r="1" spans="1:6" s="10" customFormat="1" ht="18.3" x14ac:dyDescent="0.7">
      <c r="A1" s="10" t="s">
        <v>2</v>
      </c>
      <c r="B1" s="10" t="s">
        <v>0</v>
      </c>
      <c r="C1" s="10" t="s">
        <v>1</v>
      </c>
      <c r="D1" s="10" t="s">
        <v>11</v>
      </c>
    </row>
    <row r="3" spans="1:6" x14ac:dyDescent="0.55000000000000004">
      <c r="A3" s="1" t="s">
        <v>12</v>
      </c>
      <c r="B3" s="2"/>
      <c r="C3" s="2"/>
      <c r="D3" s="2"/>
      <c r="E3" s="2"/>
      <c r="F3" s="2"/>
    </row>
    <row r="4" spans="1:6" x14ac:dyDescent="0.55000000000000004">
      <c r="A4" t="s">
        <v>3</v>
      </c>
      <c r="B4" t="s">
        <v>4</v>
      </c>
      <c r="C4" s="3">
        <v>1000000</v>
      </c>
    </row>
    <row r="5" spans="1:6" x14ac:dyDescent="0.55000000000000004">
      <c r="A5" t="s">
        <v>13</v>
      </c>
      <c r="B5" t="s">
        <v>6</v>
      </c>
      <c r="C5">
        <v>0.08</v>
      </c>
    </row>
    <row r="6" spans="1:6" x14ac:dyDescent="0.55000000000000004">
      <c r="A6" t="s">
        <v>14</v>
      </c>
      <c r="B6" t="s">
        <v>7</v>
      </c>
      <c r="C6">
        <v>10</v>
      </c>
    </row>
    <row r="7" spans="1:6" x14ac:dyDescent="0.55000000000000004">
      <c r="A7" t="s">
        <v>10</v>
      </c>
      <c r="B7" t="s">
        <v>15</v>
      </c>
      <c r="C7" s="4">
        <v>463193.49</v>
      </c>
      <c r="D7" s="9" t="s">
        <v>24</v>
      </c>
    </row>
    <row r="9" spans="1:6" x14ac:dyDescent="0.55000000000000004">
      <c r="A9" s="1" t="s">
        <v>16</v>
      </c>
      <c r="B9" s="2"/>
      <c r="C9" s="2"/>
      <c r="D9" s="2"/>
      <c r="E9" s="2"/>
      <c r="F9" s="2"/>
    </row>
    <row r="10" spans="1:6" x14ac:dyDescent="0.55000000000000004">
      <c r="A10" t="s">
        <v>10</v>
      </c>
      <c r="B10" t="s">
        <v>15</v>
      </c>
      <c r="C10" s="6">
        <v>350000</v>
      </c>
    </row>
    <row r="11" spans="1:6" x14ac:dyDescent="0.55000000000000004">
      <c r="A11" t="s">
        <v>13</v>
      </c>
      <c r="B11" t="s">
        <v>6</v>
      </c>
      <c r="C11" s="7">
        <f>(C12/C10)^(1/C13)-1</f>
        <v>0.11069085371075271</v>
      </c>
      <c r="D11" t="s">
        <v>25</v>
      </c>
    </row>
    <row r="12" spans="1:6" x14ac:dyDescent="0.55000000000000004">
      <c r="A12" t="s">
        <v>3</v>
      </c>
      <c r="B12" t="s">
        <v>4</v>
      </c>
      <c r="C12" s="3">
        <v>1000000</v>
      </c>
    </row>
    <row r="13" spans="1:6" x14ac:dyDescent="0.55000000000000004">
      <c r="A13" t="s">
        <v>14</v>
      </c>
      <c r="B13" t="s">
        <v>7</v>
      </c>
      <c r="C13">
        <v>10</v>
      </c>
    </row>
    <row r="15" spans="1:6" x14ac:dyDescent="0.55000000000000004">
      <c r="A15" s="1" t="s">
        <v>17</v>
      </c>
      <c r="B15" s="2"/>
      <c r="C15" s="2"/>
      <c r="D15" s="2"/>
      <c r="E15" s="2"/>
      <c r="F15" s="2"/>
    </row>
    <row r="16" spans="1:6" x14ac:dyDescent="0.55000000000000004">
      <c r="A16" t="s">
        <v>14</v>
      </c>
      <c r="B16" t="s">
        <v>7</v>
      </c>
      <c r="C16">
        <v>30</v>
      </c>
    </row>
    <row r="17" spans="1:6" x14ac:dyDescent="0.55000000000000004">
      <c r="A17" t="s">
        <v>8</v>
      </c>
      <c r="B17" s="6" t="s">
        <v>9</v>
      </c>
      <c r="C17" s="6">
        <v>3333333</v>
      </c>
    </row>
    <row r="18" spans="1:6" x14ac:dyDescent="0.55000000000000004">
      <c r="A18" t="s">
        <v>5</v>
      </c>
      <c r="B18" t="s">
        <v>6</v>
      </c>
      <c r="C18">
        <v>0.05</v>
      </c>
    </row>
    <row r="19" spans="1:6" x14ac:dyDescent="0.55000000000000004">
      <c r="A19" t="s">
        <v>3</v>
      </c>
      <c r="B19" s="6" t="s">
        <v>4</v>
      </c>
      <c r="C19" s="6">
        <v>100000000</v>
      </c>
    </row>
    <row r="20" spans="1:6" x14ac:dyDescent="0.55000000000000004">
      <c r="A20" t="s">
        <v>19</v>
      </c>
      <c r="B20" t="s">
        <v>18</v>
      </c>
      <c r="C20" s="4">
        <f>C17*((1-(1.05)^-30)/0.05)</f>
        <v>51241498.298792444</v>
      </c>
      <c r="D20" t="s">
        <v>26</v>
      </c>
    </row>
    <row r="22" spans="1:6" x14ac:dyDescent="0.55000000000000004">
      <c r="A22" s="1" t="s">
        <v>20</v>
      </c>
      <c r="B22" s="2"/>
      <c r="C22" s="2"/>
      <c r="D22" s="2"/>
      <c r="E22" s="2"/>
      <c r="F22" s="2"/>
    </row>
    <row r="23" spans="1:6" x14ac:dyDescent="0.55000000000000004">
      <c r="A23" t="s">
        <v>14</v>
      </c>
      <c r="B23" t="s">
        <v>7</v>
      </c>
      <c r="C23">
        <v>30</v>
      </c>
    </row>
    <row r="24" spans="1:6" x14ac:dyDescent="0.55000000000000004">
      <c r="A24" t="s">
        <v>8</v>
      </c>
      <c r="B24" s="6" t="s">
        <v>9</v>
      </c>
      <c r="C24" s="5">
        <v>3333333</v>
      </c>
    </row>
    <row r="25" spans="1:6" x14ac:dyDescent="0.55000000000000004">
      <c r="A25" t="s">
        <v>5</v>
      </c>
      <c r="B25" t="s">
        <v>6</v>
      </c>
      <c r="C25" s="7">
        <f>RATE(30,-3333333,47000000)</f>
        <v>5.7767469729529203E-2</v>
      </c>
    </row>
    <row r="26" spans="1:6" x14ac:dyDescent="0.55000000000000004">
      <c r="A26" t="s">
        <v>3</v>
      </c>
      <c r="B26" s="6" t="s">
        <v>4</v>
      </c>
    </row>
    <row r="27" spans="1:6" x14ac:dyDescent="0.55000000000000004">
      <c r="A27" t="s">
        <v>19</v>
      </c>
      <c r="B27" t="s">
        <v>18</v>
      </c>
      <c r="C27" s="6">
        <v>47000000</v>
      </c>
    </row>
    <row r="29" spans="1:6" x14ac:dyDescent="0.55000000000000004">
      <c r="A29" s="1" t="s">
        <v>21</v>
      </c>
      <c r="B29" s="2"/>
      <c r="C29" s="2"/>
      <c r="D29" s="2"/>
      <c r="E29" s="2"/>
      <c r="F29" s="2"/>
    </row>
    <row r="30" spans="1:6" x14ac:dyDescent="0.55000000000000004">
      <c r="A30" t="s">
        <v>22</v>
      </c>
      <c r="B30" t="s">
        <v>23</v>
      </c>
      <c r="C30" s="5">
        <v>1000</v>
      </c>
    </row>
    <row r="31" spans="1:6" x14ac:dyDescent="0.55000000000000004">
      <c r="A31" t="s">
        <v>14</v>
      </c>
      <c r="B31" t="s">
        <v>7</v>
      </c>
      <c r="C31">
        <v>5</v>
      </c>
    </row>
    <row r="32" spans="1:6" x14ac:dyDescent="0.55000000000000004">
      <c r="A32" t="s">
        <v>5</v>
      </c>
      <c r="B32" t="s">
        <v>6</v>
      </c>
      <c r="C32">
        <v>0.12</v>
      </c>
    </row>
    <row r="33" spans="1:3" x14ac:dyDescent="0.55000000000000004">
      <c r="A33" t="s">
        <v>10</v>
      </c>
      <c r="B33" t="s">
        <v>15</v>
      </c>
      <c r="C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Sloane Holtby</dc:creator>
  <cp:lastModifiedBy>Sloane Holtby</cp:lastModifiedBy>
  <dcterms:created xsi:type="dcterms:W3CDTF">2026-07-19T14:02:50Z</dcterms:created>
  <dcterms:modified xsi:type="dcterms:W3CDTF">2026-07-19T15:54:59Z</dcterms:modified>
</cp:coreProperties>
</file>