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utexas-my.sharepoint.com/personal/jan3557_eid_utexas_edu/Documents/"/>
    </mc:Choice>
  </mc:AlternateContent>
  <xr:revisionPtr revIDLastSave="0" documentId="8_{ABA7C190-840B-4382-B197-E10E6501E8EE}" xr6:coauthVersionLast="47" xr6:coauthVersionMax="47" xr10:uidLastSave="{00000000-0000-0000-0000-000000000000}"/>
  <bookViews>
    <workbookView xWindow="0" yWindow="0" windowWidth="28800" windowHeight="18000" xr2:uid="{7B4B78A0-3677-B14D-BA17-E63C08A48B95}"/>
  </bookViews>
  <sheets>
    <sheet name="Sheet1" sheetId="1" r:id="rId1"/>
  </sheets>
  <definedNames>
    <definedName name="APR">Sheet1!#REF!</definedName>
    <definedName name="cf">Sheet1!$B$22</definedName>
    <definedName name="cF0">Sheet1!$B$34</definedName>
    <definedName name="dr">Sheet1!$B$23</definedName>
    <definedName name="Futrval">Sheet1!#REF!</definedName>
    <definedName name="Future_Value">Sheet1!#REF!</definedName>
    <definedName name="Futval">Sheet1!$B$20</definedName>
    <definedName name="FV">Sheet1!$B$6</definedName>
    <definedName name="PresVal">Sheet1!$B$13</definedName>
    <definedName name="PV">Sheet1!$B$13</definedName>
    <definedName name="rate">Sheet1!$B$8</definedName>
    <definedName name="t">Sheet1!$B$7</definedName>
    <definedName name="time">Sheet1!$B$37</definedName>
    <definedName name="years">Sheet1!$B$21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8" i="1" l="1"/>
  <c r="B25" i="1"/>
  <c r="B29" i="1"/>
  <c r="B38" i="1"/>
  <c r="B41" i="1" s="1"/>
  <c r="B42" i="1" s="1"/>
  <c r="B43" i="1" s="1"/>
  <c r="B40" i="1"/>
  <c r="B17" i="1"/>
  <c r="B10" i="1"/>
  <c r="B45" i="1" l="1"/>
</calcChain>
</file>

<file path=xl/sharedStrings.xml><?xml version="1.0" encoding="utf-8"?>
<sst xmlns="http://schemas.openxmlformats.org/spreadsheetml/2006/main" count="42" uniqueCount="33">
  <si>
    <t>FIN 294 - Problem Set 1</t>
  </si>
  <si>
    <t>Professor Sury</t>
  </si>
  <si>
    <t>Jessica North (jan3557)</t>
  </si>
  <si>
    <t>Sloane Holtby (sh62489)</t>
  </si>
  <si>
    <t>Druvakumar Valugubelly(dv23897)</t>
  </si>
  <si>
    <t>Problem 1</t>
  </si>
  <si>
    <t>Future Value</t>
  </si>
  <si>
    <t>Time (years)</t>
  </si>
  <si>
    <t>Discount Rate</t>
  </si>
  <si>
    <t>Present Value</t>
  </si>
  <si>
    <t>Problem 2</t>
  </si>
  <si>
    <t>Which one would you choose?</t>
  </si>
  <si>
    <t xml:space="preserve">I would rather have $1,000,000 in 10 years because when discounted to the present value, it exceeds the $350,000 by roughly $115,000. </t>
  </si>
  <si>
    <t>Problem 3</t>
  </si>
  <si>
    <t>CF</t>
  </si>
  <si>
    <t>Present Value of the Annual Payments</t>
  </si>
  <si>
    <t xml:space="preserve">I would rather have my lottery paid out to me in a 30 year duration because when compared to option B (receiving $47 million today), I would receive about $4.2 million more if I spanned it out over 30 years. </t>
  </si>
  <si>
    <t>Problem 4</t>
  </si>
  <si>
    <t>r (discount rate)</t>
  </si>
  <si>
    <t xml:space="preserve">&lt;-- goal seeker here </t>
  </si>
  <si>
    <t xml:space="preserve">growth rate </t>
  </si>
  <si>
    <t>Problem 5</t>
  </si>
  <si>
    <t>CF0</t>
  </si>
  <si>
    <t>growth rate (t1-5)</t>
  </si>
  <si>
    <t>growth rate (beginning t6)</t>
  </si>
  <si>
    <t>time</t>
  </si>
  <si>
    <t>CF5</t>
  </si>
  <si>
    <t>discount rate</t>
  </si>
  <si>
    <t>PV annuity</t>
  </si>
  <si>
    <t>CF6</t>
  </si>
  <si>
    <t>FV perpetuity</t>
  </si>
  <si>
    <t>PV perpetuity</t>
  </si>
  <si>
    <t>PV annuity + perp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</si>
</sst>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6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0"/>
      <color theme="1"/>
      <name val="Aptos Narrow (Body)"/>
    </font>
    <font>
      <sz val="10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0" fontId="2" fillId="0" borderId="0" xfId="0" applyNumberFormat="1" applyFont="1"/>
    <xf numFmtId="0" fontId="6" fillId="0" borderId="0" xfId="0" applyFont="1"/>
    <xf numFmtId="44" fontId="6" fillId="2" borderId="1" xfId="0" applyNumberFormat="1" applyFont="1" applyFill="1" applyBorder="1"/>
    <xf numFmtId="0" fontId="7" fillId="0" borderId="0" xfId="0" applyFont="1"/>
    <xf numFmtId="0" fontId="4" fillId="0" borderId="3" xfId="0" applyFont="1" applyBorder="1"/>
    <xf numFmtId="0" fontId="6" fillId="0" borderId="4" xfId="0" applyFont="1" applyBorder="1"/>
    <xf numFmtId="44" fontId="6" fillId="0" borderId="5" xfId="0" applyNumberFormat="1" applyFont="1" applyBorder="1"/>
    <xf numFmtId="0" fontId="6" fillId="0" borderId="5" xfId="0" applyFont="1" applyBorder="1"/>
    <xf numFmtId="10" fontId="6" fillId="0" borderId="5" xfId="0" applyNumberFormat="1" applyFont="1" applyBorder="1"/>
    <xf numFmtId="0" fontId="3" fillId="0" borderId="6" xfId="0" applyFont="1" applyBorder="1"/>
    <xf numFmtId="0" fontId="3" fillId="0" borderId="2" xfId="0" applyFont="1" applyBorder="1"/>
    <xf numFmtId="44" fontId="7" fillId="0" borderId="5" xfId="0" applyNumberFormat="1" applyFont="1" applyBorder="1"/>
    <xf numFmtId="0" fontId="7" fillId="0" borderId="5" xfId="0" applyFont="1" applyBorder="1"/>
    <xf numFmtId="10" fontId="7" fillId="2" borderId="1" xfId="1" applyNumberFormat="1" applyFont="1" applyFill="1" applyBorder="1"/>
    <xf numFmtId="0" fontId="10" fillId="0" borderId="0" xfId="0" applyFont="1" applyAlignment="1">
      <alignment wrapText="1"/>
    </xf>
    <xf numFmtId="0" fontId="8" fillId="0" borderId="0" xfId="0" applyFont="1"/>
    <xf numFmtId="10" fontId="9" fillId="2" borderId="1" xfId="0" applyNumberFormat="1" applyFont="1" applyFill="1" applyBorder="1" applyAlignment="1">
      <alignment wrapText="1"/>
    </xf>
    <xf numFmtId="9" fontId="6" fillId="0" borderId="5" xfId="0" applyNumberFormat="1" applyFont="1" applyBorder="1"/>
    <xf numFmtId="0" fontId="6" fillId="0" borderId="6" xfId="0" applyFont="1" applyBorder="1" applyAlignment="1">
      <alignment wrapText="1"/>
    </xf>
    <xf numFmtId="44" fontId="4" fillId="0" borderId="7" xfId="0" applyNumberFormat="1" applyFont="1" applyBorder="1"/>
    <xf numFmtId="44" fontId="7" fillId="0" borderId="7" xfId="0" applyNumberFormat="1" applyFont="1" applyBorder="1"/>
    <xf numFmtId="44" fontId="0" fillId="0" borderId="0" xfId="0" applyNumberFormat="1"/>
    <xf numFmtId="0" fontId="11" fillId="0" borderId="6" xfId="0" applyFont="1" applyBorder="1"/>
    <xf numFmtId="9" fontId="6" fillId="0" borderId="4" xfId="0" applyNumberFormat="1" applyFont="1" applyBorder="1"/>
    <xf numFmtId="9" fontId="6" fillId="0" borderId="6" xfId="0" applyNumberFormat="1" applyFont="1" applyBorder="1"/>
    <xf numFmtId="9" fontId="6" fillId="0" borderId="7" xfId="0" applyNumberFormat="1" applyFont="1" applyBorder="1"/>
    <xf numFmtId="10" fontId="6" fillId="2" borderId="1" xfId="0" applyNumberFormat="1" applyFont="1" applyFill="1" applyBorder="1" applyAlignment="1">
      <alignment wrapText="1"/>
    </xf>
    <xf numFmtId="10" fontId="9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B7CD-7B81-E443-AD1A-766C3B47ED8F}">
  <dimension ref="A1:D46"/>
  <sheetViews>
    <sheetView tabSelected="1" topLeftCell="A19" zoomScale="143" zoomScaleNormal="143" workbookViewId="0">
      <selection activeCell="C30" sqref="C30"/>
    </sheetView>
  </sheetViews>
  <sheetFormatPr defaultColWidth="11" defaultRowHeight="21.95"/>
  <cols>
    <col min="1" max="1" width="29.875" style="2" customWidth="1"/>
    <col min="2" max="2" width="28.125" style="3" customWidth="1"/>
    <col min="3" max="3" width="10.625" style="4" customWidth="1"/>
    <col min="4" max="4" width="47.125" customWidth="1"/>
  </cols>
  <sheetData>
    <row r="1" spans="1:4" ht="24">
      <c r="A1" s="1" t="s">
        <v>0</v>
      </c>
    </row>
    <row r="2" spans="1:4">
      <c r="A2" s="2" t="s">
        <v>1</v>
      </c>
    </row>
    <row r="3" spans="1:4">
      <c r="A3" s="2" t="s">
        <v>2</v>
      </c>
      <c r="B3" s="3" t="s">
        <v>3</v>
      </c>
      <c r="C3" s="4" t="s">
        <v>4</v>
      </c>
    </row>
    <row r="5" spans="1:4">
      <c r="A5" s="14" t="s">
        <v>5</v>
      </c>
      <c r="B5" s="8"/>
    </row>
    <row r="6" spans="1:4" ht="18.95">
      <c r="A6" s="9" t="s">
        <v>6</v>
      </c>
      <c r="B6" s="10">
        <v>1000000</v>
      </c>
      <c r="C6"/>
    </row>
    <row r="7" spans="1:4">
      <c r="A7" s="9" t="s">
        <v>7</v>
      </c>
      <c r="B7" s="11">
        <v>10</v>
      </c>
    </row>
    <row r="8" spans="1:4" ht="18.95">
      <c r="A8" s="9" t="s">
        <v>8</v>
      </c>
      <c r="B8" s="12">
        <v>0.08</v>
      </c>
      <c r="C8"/>
    </row>
    <row r="9" spans="1:4" ht="23.1" thickBot="1">
      <c r="A9" s="9"/>
      <c r="B9" s="11"/>
    </row>
    <row r="10" spans="1:4" ht="23.1" thickBot="1">
      <c r="A10" s="13" t="s">
        <v>9</v>
      </c>
      <c r="B10" s="6">
        <f>FV/(1+rate)^t</f>
        <v>463193.48808468424</v>
      </c>
    </row>
    <row r="12" spans="1:4">
      <c r="A12" s="14" t="s">
        <v>10</v>
      </c>
      <c r="B12" s="8"/>
      <c r="D12" s="19" t="s">
        <v>11</v>
      </c>
    </row>
    <row r="13" spans="1:4" ht="47.1">
      <c r="A13" s="9" t="s">
        <v>9</v>
      </c>
      <c r="B13" s="15">
        <v>350000</v>
      </c>
      <c r="D13" s="18" t="s">
        <v>12</v>
      </c>
    </row>
    <row r="14" spans="1:4">
      <c r="A14" s="9" t="s">
        <v>7</v>
      </c>
      <c r="B14" s="16">
        <v>10</v>
      </c>
    </row>
    <row r="15" spans="1:4">
      <c r="A15" s="9" t="s">
        <v>6</v>
      </c>
      <c r="B15" s="15">
        <v>1000000</v>
      </c>
    </row>
    <row r="16" spans="1:4" ht="23.1" thickBot="1">
      <c r="A16" s="9"/>
      <c r="B16" s="16"/>
    </row>
    <row r="17" spans="1:4" ht="23.1" thickBot="1">
      <c r="A17" s="13" t="s">
        <v>8</v>
      </c>
      <c r="B17" s="17">
        <f>(FV/PresVal)^(1/t)-1</f>
        <v>0.11069085371075271</v>
      </c>
    </row>
    <row r="18" spans="1:4">
      <c r="B18" s="7"/>
    </row>
    <row r="19" spans="1:4">
      <c r="A19" s="14" t="s">
        <v>13</v>
      </c>
      <c r="B19" s="8"/>
    </row>
    <row r="20" spans="1:4">
      <c r="A20" s="9" t="s">
        <v>6</v>
      </c>
      <c r="B20" s="10">
        <v>100000000</v>
      </c>
    </row>
    <row r="21" spans="1:4">
      <c r="A21" s="9" t="s">
        <v>7</v>
      </c>
      <c r="B21" s="11">
        <v>30</v>
      </c>
    </row>
    <row r="22" spans="1:4">
      <c r="A22" s="9" t="s">
        <v>14</v>
      </c>
      <c r="B22" s="10">
        <v>3333333</v>
      </c>
    </row>
    <row r="23" spans="1:4">
      <c r="A23" s="9" t="s">
        <v>8</v>
      </c>
      <c r="B23" s="21">
        <v>0.05</v>
      </c>
    </row>
    <row r="24" spans="1:4" ht="23.1" thickBot="1">
      <c r="A24" s="9"/>
      <c r="B24" s="11"/>
    </row>
    <row r="25" spans="1:4" ht="63" thickBot="1">
      <c r="A25" s="22" t="s">
        <v>15</v>
      </c>
      <c r="B25" s="23">
        <f>cf*(1-(1/(1+5%)^years))/5%</f>
        <v>51241498.298792444</v>
      </c>
      <c r="D25" s="20" t="s">
        <v>16</v>
      </c>
    </row>
    <row r="27" spans="1:4">
      <c r="A27" s="14" t="s">
        <v>17</v>
      </c>
      <c r="B27" s="8"/>
    </row>
    <row r="28" spans="1:4">
      <c r="A28" s="9" t="s">
        <v>9</v>
      </c>
      <c r="B28" s="24">
        <f>cf*(1-(1/(1+B30)^years))/B30</f>
        <v>47000000.000038482</v>
      </c>
    </row>
    <row r="29" spans="1:4" ht="23.1" thickBot="1">
      <c r="A29" s="9" t="s">
        <v>7</v>
      </c>
      <c r="B29" s="11">
        <f>years</f>
        <v>30</v>
      </c>
    </row>
    <row r="30" spans="1:4" ht="20.100000000000001" thickBot="1">
      <c r="A30" s="9" t="s">
        <v>18</v>
      </c>
      <c r="B30" s="30">
        <v>5.7767469729453812E-2</v>
      </c>
      <c r="C30" s="31" t="s">
        <v>19</v>
      </c>
    </row>
    <row r="31" spans="1:4">
      <c r="A31" s="28" t="s">
        <v>20</v>
      </c>
      <c r="B31" s="29">
        <v>0</v>
      </c>
    </row>
    <row r="32" spans="1:4">
      <c r="A32" s="27"/>
      <c r="B32" s="11"/>
    </row>
    <row r="33" spans="1:4">
      <c r="A33" s="14" t="s">
        <v>21</v>
      </c>
      <c r="B33" s="8"/>
    </row>
    <row r="34" spans="1:4">
      <c r="A34" s="9" t="s">
        <v>22</v>
      </c>
      <c r="B34" s="10">
        <v>1000</v>
      </c>
    </row>
    <row r="35" spans="1:4">
      <c r="A35" s="9" t="s">
        <v>23</v>
      </c>
      <c r="B35" s="21">
        <v>0.1</v>
      </c>
    </row>
    <row r="36" spans="1:4">
      <c r="A36" s="9" t="s">
        <v>24</v>
      </c>
      <c r="B36" s="21">
        <v>0.04</v>
      </c>
    </row>
    <row r="37" spans="1:4">
      <c r="A37" s="9" t="s">
        <v>25</v>
      </c>
      <c r="B37" s="11">
        <v>5</v>
      </c>
    </row>
    <row r="38" spans="1:4">
      <c r="A38" s="9" t="s">
        <v>26</v>
      </c>
      <c r="B38" s="10">
        <f>cF0*(1.1)^time</f>
        <v>1610.5100000000004</v>
      </c>
      <c r="D38" s="25"/>
    </row>
    <row r="39" spans="1:4">
      <c r="A39" s="9" t="s">
        <v>27</v>
      </c>
      <c r="B39" s="21">
        <v>0.12</v>
      </c>
    </row>
    <row r="40" spans="1:4">
      <c r="A40" s="9" t="s">
        <v>28</v>
      </c>
      <c r="B40" s="10">
        <f>(1000*1.1)/(B39-B35)*(1-((1+B35)/(1+B39))^time)</f>
        <v>4738.4356028151269</v>
      </c>
    </row>
    <row r="41" spans="1:4">
      <c r="A41" s="9" t="s">
        <v>29</v>
      </c>
      <c r="B41" s="10">
        <f>B38*(1+B36)</f>
        <v>1674.9304000000004</v>
      </c>
    </row>
    <row r="42" spans="1:4">
      <c r="A42" s="9" t="s">
        <v>30</v>
      </c>
      <c r="B42" s="10">
        <f>B41/(B39-B36)</f>
        <v>20936.630000000008</v>
      </c>
    </row>
    <row r="43" spans="1:4">
      <c r="A43" s="9" t="s">
        <v>31</v>
      </c>
      <c r="B43" s="10">
        <f>B42/(1+B39)^time</f>
        <v>11880.006130243701</v>
      </c>
    </row>
    <row r="44" spans="1:4" ht="23.1" thickBot="1">
      <c r="A44" s="9"/>
      <c r="B44" s="11"/>
    </row>
    <row r="45" spans="1:4" ht="23.1" thickBot="1">
      <c r="A45" s="26" t="s">
        <v>32</v>
      </c>
      <c r="B45" s="6">
        <f>B43+B40</f>
        <v>16618.441733058826</v>
      </c>
    </row>
    <row r="46" spans="1:4">
      <c r="A46" s="5"/>
      <c r="B4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North, Jessica</dc:creator>
  <cp:keywords/>
  <dc:description/>
  <cp:lastModifiedBy/>
  <cp:revision/>
  <dcterms:created xsi:type="dcterms:W3CDTF">2026-07-16T21:57:13Z</dcterms:created>
  <dcterms:modified xsi:type="dcterms:W3CDTF">2026-07-20T23:17:17Z</dcterms:modified>
  <cp:category/>
  <cp:contentStatus/>
</cp:coreProperties>
</file>