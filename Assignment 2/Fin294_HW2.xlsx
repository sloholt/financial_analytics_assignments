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ane\Downloads\"/>
    </mc:Choice>
  </mc:AlternateContent>
  <xr:revisionPtr revIDLastSave="0" documentId="13_ncr:1_{68E021EB-1C5E-4947-A9F0-621A9FF1D1BC}" xr6:coauthVersionLast="47" xr6:coauthVersionMax="47" xr10:uidLastSave="{00000000-0000-0000-0000-000000000000}"/>
  <bookViews>
    <workbookView xWindow="11442" yWindow="0" windowWidth="11676" windowHeight="13758" xr2:uid="{A6F471CB-6A54-CC42-BAE5-DD5381B0C994}"/>
  </bookViews>
  <sheets>
    <sheet name="Sheet1" sheetId="1" r:id="rId1"/>
  </sheets>
  <definedNames>
    <definedName name="Anncprate">Sheet1!$B$6</definedName>
    <definedName name="Annttm">Sheet1!$B$8</definedName>
    <definedName name="Annytm">Sheet1!$B$7</definedName>
    <definedName name="APR">Sheet1!$J$3</definedName>
    <definedName name="freq">Sheet1!$C$10</definedName>
    <definedName name="parval">Sheet1!$B$9</definedName>
    <definedName name="percprate">Sheet1!$C$6</definedName>
    <definedName name="perttm">Sheet1!$C$8</definedName>
    <definedName name="perytm">Sheet1!$C$7</definedName>
    <definedName name="YTM">Sheet1!$J$6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9" i="1" l="1"/>
  <c r="C9" i="1"/>
  <c r="C10" i="1"/>
  <c r="C7" i="1" l="1"/>
  <c r="C8" i="1"/>
  <c r="A14" i="1" s="1" a="1"/>
  <c r="B15" i="1" s="1" a="1"/>
  <c r="C6" i="1"/>
  <c r="B23" i="1" l="1" a="1"/>
  <c r="B23" i="1" s="1"/>
  <c r="C23" i="1" s="1"/>
  <c r="B21" i="1" a="1"/>
  <c r="B19" i="1" a="1"/>
  <c r="B17" i="1" a="1"/>
  <c r="B16" i="1" a="1"/>
  <c r="B16" i="1" s="1"/>
  <c r="C16" i="1" s="1"/>
  <c r="B24" i="1" a="1"/>
  <c r="B22" i="1" a="1"/>
  <c r="B20" i="1" a="1"/>
  <c r="B18" i="1" a="1"/>
  <c r="B24" i="1"/>
  <c r="C24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5" i="1"/>
  <c r="C15" i="1" s="1"/>
  <c r="A14" i="1"/>
  <c r="B14" i="1" s="1" a="1"/>
  <c r="B14" i="1" s="1"/>
  <c r="C14" i="1" s="1"/>
  <c r="C2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<sst xmlns="http://schemas.openxmlformats.org/spreadsheetml/2006/main" count="36" uniqueCount="33">
  <si>
    <t xml:space="preserve">PAR 1000 Compounded semiannually </t>
  </si>
  <si>
    <t>definition</t>
  </si>
  <si>
    <t>where in formula for bond value?</t>
  </si>
  <si>
    <t>Coupon Rate (APR)</t>
  </si>
  <si>
    <t>% of PAR value</t>
  </si>
  <si>
    <t>CF</t>
  </si>
  <si>
    <t>Bond issuer</t>
  </si>
  <si>
    <t xml:space="preserve">XYZ Co. </t>
  </si>
  <si>
    <t>Bond Terms</t>
  </si>
  <si>
    <t>Annual</t>
  </si>
  <si>
    <t>Periodic</t>
  </si>
  <si>
    <t>Compounding Frequencies</t>
  </si>
  <si>
    <t>measure of credit quality (default risk)</t>
  </si>
  <si>
    <t>(rated AAA)</t>
  </si>
  <si>
    <t>the higher the credit quality, the lower the default risk</t>
  </si>
  <si>
    <t>Coupon Rate</t>
  </si>
  <si>
    <t>Yield to Maturity (YTM)</t>
  </si>
  <si>
    <t>expected rate of return on the bond (E(root sigma)</t>
  </si>
  <si>
    <t>YTM</t>
  </si>
  <si>
    <t>Semiannual</t>
  </si>
  <si>
    <t>T</t>
  </si>
  <si>
    <t>Term to Maturity</t>
  </si>
  <si>
    <t>Quartlery</t>
  </si>
  <si>
    <t>Par Value</t>
  </si>
  <si>
    <t>Monthly</t>
  </si>
  <si>
    <t>Compounding Frequency</t>
  </si>
  <si>
    <t>Time Period</t>
  </si>
  <si>
    <t>Bond Cash Flow</t>
  </si>
  <si>
    <t>PV(CF)</t>
  </si>
  <si>
    <t>Bond Value:</t>
  </si>
  <si>
    <t xml:space="preserve">FIN 294 Module 2 Problem Set </t>
  </si>
  <si>
    <t>Reference Bond: 4% XYZ Co. (rated AAA) yielding 8% Due 7/22/2032</t>
  </si>
  <si>
    <t>Bond Duration: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</si>
</sst>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u/>
      <sz val="10"/>
      <color theme="1"/>
      <name val="Aptos Narrow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2" borderId="1" xfId="0" applyFont="1" applyFill="1" applyBorder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0" fontId="1" fillId="0" borderId="5" xfId="0" applyFont="1" applyBorder="1" applyAlignment="1">
      <alignment wrapText="1"/>
    </xf>
    <xf numFmtId="0" fontId="0" fillId="0" borderId="6" xfId="0" applyBorder="1"/>
    <xf numFmtId="0" fontId="1" fillId="0" borderId="5" xfId="0" applyFont="1" applyBorder="1"/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8" xfId="0" applyFont="1" applyBorder="1"/>
    <xf numFmtId="0" fontId="6" fillId="0" borderId="2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9" xfId="0" applyFont="1" applyBorder="1"/>
    <xf numFmtId="2" fontId="0" fillId="0" borderId="0" xfId="0" applyNumberFormat="1"/>
    <xf numFmtId="165" fontId="0" fillId="0" borderId="0" xfId="0" applyNumberFormat="1"/>
    <xf numFmtId="0" fontId="1" fillId="0" borderId="10" xfId="0" applyFont="1" applyBorder="1"/>
    <xf numFmtId="165" fontId="1" fillId="0" borderId="11" xfId="0" applyNumberFormat="1" applyFont="1" applyBorder="1"/>
    <xf numFmtId="0" fontId="1" fillId="0" borderId="0" xfId="0" applyFont="1"/>
    <xf numFmtId="0" fontId="0" fillId="0" borderId="0" xfId="0"/>
    <xf numFmtId="0" fontId="0" fillId="0" borderId="12" xfId="0" applyBorder="1"/>
    <xf numFmtId="0" fontId="0" fillId="2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56BC-FA87-4E47-8EFA-7B0D0B9F2DF4}">
  <dimension ref="A1:M29"/>
  <sheetViews>
    <sheetView tabSelected="1" zoomScale="60" zoomScaleNormal="60" workbookViewId="0">
      <selection activeCell="C26" sqref="C26"/>
    </sheetView>
  </sheetViews>
  <sheetFormatPr defaultColWidth="11" defaultRowHeight="15.6" x14ac:dyDescent="0.6"/>
  <cols>
    <col min="1" max="1" width="14.84765625" customWidth="1"/>
    <col min="2" max="2" width="21.34765625" customWidth="1"/>
    <col min="4" max="4" width="16.09765625" customWidth="1"/>
    <col min="5" max="5" width="16" customWidth="1"/>
    <col min="7" max="7" width="17.34765625" customWidth="1"/>
  </cols>
  <sheetData>
    <row r="1" spans="1:13" s="31" customFormat="1" ht="37" customHeight="1" thickBot="1" x14ac:dyDescent="0.65">
      <c r="A1" s="30" t="s">
        <v>30</v>
      </c>
    </row>
    <row r="2" spans="1:13" ht="48.6" thickBot="1" x14ac:dyDescent="0.9">
      <c r="A2" s="15" t="s">
        <v>31</v>
      </c>
      <c r="G2" s="3" t="s">
        <v>0</v>
      </c>
      <c r="I2" s="6"/>
      <c r="J2" s="7"/>
      <c r="K2" s="7"/>
      <c r="L2" s="8" t="s">
        <v>1</v>
      </c>
      <c r="M2" s="14" t="s">
        <v>2</v>
      </c>
    </row>
    <row r="3" spans="1:13" ht="31.2" x14ac:dyDescent="0.6">
      <c r="I3" s="9" t="s">
        <v>3</v>
      </c>
      <c r="J3" s="2">
        <v>0.04</v>
      </c>
      <c r="L3" t="s">
        <v>4</v>
      </c>
      <c r="M3" s="10" t="s">
        <v>5</v>
      </c>
    </row>
    <row r="4" spans="1:13" x14ac:dyDescent="0.6">
      <c r="I4" s="11" t="s">
        <v>6</v>
      </c>
      <c r="J4" s="4" t="s">
        <v>7</v>
      </c>
      <c r="M4" s="10"/>
    </row>
    <row r="5" spans="1:13" ht="78" x14ac:dyDescent="0.6">
      <c r="A5" s="16" t="s">
        <v>8</v>
      </c>
      <c r="B5" s="16" t="s">
        <v>9</v>
      </c>
      <c r="C5" s="16" t="s">
        <v>10</v>
      </c>
      <c r="F5" s="20" t="s">
        <v>11</v>
      </c>
      <c r="G5" s="21"/>
      <c r="I5" s="17" t="s">
        <v>12</v>
      </c>
      <c r="J5" t="s">
        <v>13</v>
      </c>
      <c r="L5" s="5" t="s">
        <v>14</v>
      </c>
      <c r="M5" s="10"/>
    </row>
    <row r="6" spans="1:13" ht="43" customHeight="1" x14ac:dyDescent="0.6">
      <c r="A6" s="4" t="s">
        <v>15</v>
      </c>
      <c r="B6" s="2">
        <v>0.04</v>
      </c>
      <c r="C6" s="26">
        <f>Anncprate/freq</f>
        <v>0.02</v>
      </c>
      <c r="F6" s="22" t="s">
        <v>9</v>
      </c>
      <c r="G6" s="23">
        <v>1</v>
      </c>
      <c r="I6" s="17" t="s">
        <v>16</v>
      </c>
      <c r="J6" s="2">
        <v>0.08</v>
      </c>
      <c r="L6" s="5" t="s">
        <v>17</v>
      </c>
      <c r="M6" s="10"/>
    </row>
    <row r="7" spans="1:13" x14ac:dyDescent="0.6">
      <c r="A7" t="s">
        <v>18</v>
      </c>
      <c r="B7" s="2">
        <v>0.08</v>
      </c>
      <c r="C7">
        <f>Annytm/freq</f>
        <v>0.04</v>
      </c>
      <c r="F7" s="22" t="s">
        <v>19</v>
      </c>
      <c r="G7" s="23">
        <v>2</v>
      </c>
      <c r="I7" s="19" t="s">
        <v>20</v>
      </c>
      <c r="J7" s="12">
        <v>12</v>
      </c>
      <c r="K7" s="12"/>
      <c r="L7" s="12"/>
      <c r="M7" s="13" t="s">
        <v>20</v>
      </c>
    </row>
    <row r="8" spans="1:13" x14ac:dyDescent="0.6">
      <c r="A8" s="4" t="s">
        <v>21</v>
      </c>
      <c r="B8">
        <v>6</v>
      </c>
      <c r="C8">
        <f>Annttm*freq</f>
        <v>12</v>
      </c>
      <c r="F8" s="22" t="s">
        <v>22</v>
      </c>
      <c r="G8" s="23">
        <v>4</v>
      </c>
    </row>
    <row r="9" spans="1:13" x14ac:dyDescent="0.6">
      <c r="A9" s="4" t="s">
        <v>23</v>
      </c>
      <c r="B9">
        <v>1000</v>
      </c>
      <c r="C9">
        <f>parval</f>
        <v>1000</v>
      </c>
      <c r="F9" s="24" t="s">
        <v>24</v>
      </c>
      <c r="G9" s="25">
        <v>12</v>
      </c>
    </row>
    <row r="10" spans="1:13" ht="31.2" x14ac:dyDescent="0.6">
      <c r="A10" s="18" t="s">
        <v>25</v>
      </c>
      <c r="B10" t="s">
        <v>19</v>
      </c>
      <c r="C10">
        <f>_xlfn.XLOOKUP(B10,F6:F9,G6:G9)</f>
        <v>2</v>
      </c>
    </row>
    <row r="11" spans="1:13" x14ac:dyDescent="0.6">
      <c r="A11" s="1"/>
    </row>
    <row r="12" spans="1:13" x14ac:dyDescent="0.6">
      <c r="A12" s="1"/>
    </row>
    <row r="13" spans="1:13" x14ac:dyDescent="0.6">
      <c r="A13" s="1" t="s">
        <v>26</v>
      </c>
      <c r="B13" t="s">
        <v>27</v>
      </c>
      <c r="C13" t="s">
        <v>28</v>
      </c>
    </row>
    <row r="14" spans="1:13" x14ac:dyDescent="0.6">
      <c r="A14" s="4" cm="1">
        <f t="array" ref="A14:A26">_xlfn.SEQUENCE(perttm+1,1,0,1)</f>
        <v>0</v>
      </c>
      <c r="B14" cm="1">
        <f t="array" ref="B14">_xlfn.IFS(A14=0,0,A14&lt;perttm,percprate*parval,A14=perttm, percprate*parval+parval)</f>
        <v>0</v>
      </c>
      <c r="C14" s="27">
        <f t="shared" ref="C14:C24" si="0">B14/(1+perytm)^A14</f>
        <v>0</v>
      </c>
    </row>
    <row r="15" spans="1:13" x14ac:dyDescent="0.6">
      <c r="A15" s="4">
        <v>1</v>
      </c>
      <c r="B15" cm="1">
        <f t="array" ref="B15">_xlfn.IFS(A15=0,0,A15&lt;perttm,percprate*parval,A15=perttm, percprate*parval+parval)</f>
        <v>20</v>
      </c>
      <c r="C15" s="27">
        <f t="shared" si="0"/>
        <v>19.23076923076923</v>
      </c>
    </row>
    <row r="16" spans="1:13" x14ac:dyDescent="0.6">
      <c r="A16" s="4">
        <v>2</v>
      </c>
      <c r="B16" cm="1">
        <f t="array" ref="B16">_xlfn.IFS(A16=0,0,A16&lt;perttm,percprate*parval,A16=perttm, percprate*parval+parval)</f>
        <v>20</v>
      </c>
      <c r="C16" s="27">
        <f t="shared" si="0"/>
        <v>18.491124260355029</v>
      </c>
    </row>
    <row r="17" spans="1:3" x14ac:dyDescent="0.6">
      <c r="A17" s="4">
        <v>3</v>
      </c>
      <c r="B17" cm="1">
        <f t="array" ref="B17">_xlfn.IFS(A17=0,0,A17&lt;perttm,percprate*parval,A17=perttm, percprate*parval+parval)</f>
        <v>20</v>
      </c>
      <c r="C17" s="27">
        <f t="shared" si="0"/>
        <v>17.779927173418297</v>
      </c>
    </row>
    <row r="18" spans="1:3" x14ac:dyDescent="0.6">
      <c r="A18" s="4">
        <v>4</v>
      </c>
      <c r="B18" cm="1">
        <f t="array" ref="B18">_xlfn.IFS(A18=0,0,A18&lt;perttm,percprate*parval,A18=perttm, percprate*parval+parval)</f>
        <v>20</v>
      </c>
      <c r="C18" s="27">
        <f t="shared" si="0"/>
        <v>17.096083820594515</v>
      </c>
    </row>
    <row r="19" spans="1:3" x14ac:dyDescent="0.6">
      <c r="A19" s="4">
        <v>5</v>
      </c>
      <c r="B19" cm="1">
        <f t="array" ref="B19">_xlfn.IFS(A19=0,0,A19&lt;perttm,percprate*parval,A19=perttm, percprate*parval+parval)</f>
        <v>20</v>
      </c>
      <c r="C19" s="27">
        <f t="shared" si="0"/>
        <v>16.438542135187031</v>
      </c>
    </row>
    <row r="20" spans="1:3" x14ac:dyDescent="0.6">
      <c r="A20" s="4">
        <v>6</v>
      </c>
      <c r="B20" cm="1">
        <f t="array" ref="B20">_xlfn.IFS(A20=0,0,A20&lt;perttm,percprate*parval,A20=perttm, percprate*parval+parval)</f>
        <v>20</v>
      </c>
      <c r="C20" s="27">
        <f t="shared" si="0"/>
        <v>15.806290514602914</v>
      </c>
    </row>
    <row r="21" spans="1:3" x14ac:dyDescent="0.6">
      <c r="A21" s="4">
        <v>7</v>
      </c>
      <c r="B21" cm="1">
        <f t="array" ref="B21">_xlfn.IFS(A21=0,0,A21&lt;perttm,percprate*parval,A21=perttm, percprate*parval+parval)</f>
        <v>20</v>
      </c>
      <c r="C21" s="27">
        <f t="shared" si="0"/>
        <v>15.198356264041266</v>
      </c>
    </row>
    <row r="22" spans="1:3" x14ac:dyDescent="0.6">
      <c r="A22" s="4">
        <v>8</v>
      </c>
      <c r="B22" cm="1">
        <f t="array" ref="B22">_xlfn.IFS(A22=0,0,A22&lt;perttm,percprate*parval,A22=perttm, percprate*parval+parval)</f>
        <v>20</v>
      </c>
      <c r="C22" s="27">
        <f t="shared" si="0"/>
        <v>14.613804100039676</v>
      </c>
    </row>
    <row r="23" spans="1:3" x14ac:dyDescent="0.6">
      <c r="A23" s="4">
        <v>9</v>
      </c>
      <c r="B23" cm="1">
        <f t="array" ref="B23">_xlfn.IFS(A23=0,0,A23&lt;perttm,percprate*parval,A23=perttm, percprate*parval+parval)</f>
        <v>20</v>
      </c>
      <c r="C23" s="27">
        <f t="shared" si="0"/>
        <v>14.051734711576611</v>
      </c>
    </row>
    <row r="24" spans="1:3" x14ac:dyDescent="0.6">
      <c r="A24" s="4">
        <v>10</v>
      </c>
      <c r="B24" cm="1">
        <f t="array" ref="B24">_xlfn.IFS(A24=0,0,A24&lt;perttm,percprate*parval,A24=perttm, percprate*parval+parval)</f>
        <v>20</v>
      </c>
      <c r="C24" s="27">
        <f t="shared" si="0"/>
        <v>13.511283376515971</v>
      </c>
    </row>
    <row r="25" spans="1:3" ht="15.9" thickBot="1" x14ac:dyDescent="0.65">
      <c r="A25">
        <v>11</v>
      </c>
    </row>
    <row r="26" spans="1:3" ht="15.9" thickBot="1" x14ac:dyDescent="0.65">
      <c r="A26">
        <v>12</v>
      </c>
      <c r="B26" s="28" t="s">
        <v>29</v>
      </c>
      <c r="C26" s="29">
        <f>SUM(C14:C24)</f>
        <v>162.21791558710055</v>
      </c>
    </row>
    <row r="29" spans="1:3" x14ac:dyDescent="0.6">
      <c r="A29" s="32" t="s">
        <v>32</v>
      </c>
      <c r="B29" s="33">
        <f>DURATION(DATE(2026,7,22),DATE(2032,7,22),0.04,0.08,2)</f>
        <v>5.3107449968407279</v>
      </c>
    </row>
  </sheetData>
  <mergeCells count="1">
    <mergeCell ref="A1:XFD1"/>
  </mergeCells>
  <dataValidations count="1">
    <dataValidation type="list" allowBlank="1" showInputMessage="1" showErrorMessage="1" sqref="B10" xr:uid="{FC3A3EAF-D05C-044A-9F45-138422E1B449}">
      <formula1>$F$6:$F$9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Anncprate</vt:lpstr>
      <vt:lpstr>Annttm</vt:lpstr>
      <vt:lpstr>Annytm</vt:lpstr>
      <vt:lpstr>APR</vt:lpstr>
      <vt:lpstr>freq</vt:lpstr>
      <vt:lpstr>parval</vt:lpstr>
      <vt:lpstr>percprate</vt:lpstr>
      <vt:lpstr>perttm</vt:lpstr>
      <vt:lpstr>perytm</vt:lpstr>
      <vt:lpstr>YTM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North, Jessica</dc:creator>
  <cp:keywords/>
  <dc:description/>
  <cp:lastModifiedBy>Sloane Holtby</cp:lastModifiedBy>
  <cp:revision/>
  <dcterms:created xsi:type="dcterms:W3CDTF">2026-07-21T22:55:29Z</dcterms:created>
  <dcterms:modified xsi:type="dcterms:W3CDTF">2026-07-23T02:57:14Z</dcterms:modified>
  <cp:category/>
  <cp:contentStatus/>
</cp:coreProperties>
</file>