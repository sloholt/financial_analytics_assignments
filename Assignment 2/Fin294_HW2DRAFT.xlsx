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oane\OneDrive\Desktop\UT\financial_analytics\financial_analytics_assignments\Assignment 2\"/>
    </mc:Choice>
  </mc:AlternateContent>
  <xr:revisionPtr revIDLastSave="0" documentId="13_ncr:1_{F66ED97D-91E5-484C-8DA0-477F2A8A7908}" xr6:coauthVersionLast="47" xr6:coauthVersionMax="47" xr10:uidLastSave="{00000000-0000-0000-0000-000000000000}"/>
  <bookViews>
    <workbookView xWindow="63420" yWindow="270" windowWidth="20325" windowHeight="14985" xr2:uid="{A7E51CE5-8F4C-487C-A792-EAC000D20598}"/>
  </bookViews>
  <sheets>
    <sheet name="Sheet1" sheetId="1" r:id="rId1"/>
  </sheets>
  <definedNames>
    <definedName name="anncpr">Sheet1!$B$4</definedName>
    <definedName name="anndeltay">Sheet1!$B$38</definedName>
    <definedName name="anndur">Sheet1!$C$29</definedName>
    <definedName name="annholdper">Sheet1!$B$37</definedName>
    <definedName name="annnewytm">Sheet1!$B$40</definedName>
    <definedName name="annttm">Sheet1!$B$6</definedName>
    <definedName name="annytm">Sheet1!$B$5</definedName>
    <definedName name="bondprice">Sheet1!$C$28</definedName>
    <definedName name="freq">Sheet1!$B$8</definedName>
    <definedName name="hprcu">Sheet1!$C$61</definedName>
    <definedName name="hprval">Sheet1!$C$59</definedName>
    <definedName name="mminst">Sheet1!$B$70</definedName>
    <definedName name="parval">Sheet1!$B$7</definedName>
    <definedName name="percpr">Sheet1!$C$4</definedName>
    <definedName name="perdur">Sheet1!$E$28</definedName>
    <definedName name="perholdper">Sheet1!$C$37</definedName>
    <definedName name="pernewytm">Sheet1!$C$40</definedName>
    <definedName name="perttm">Sheet1!$C$6</definedName>
    <definedName name="perytm">Sheet1!$C$5</definedName>
    <definedName name="wbond">Sheet1!$C$69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9" i="1" l="1"/>
  <c r="E92" i="1"/>
  <c r="E91" i="1"/>
  <c r="E90" i="1"/>
  <c r="E76" i="1"/>
  <c r="E77" i="1"/>
  <c r="E78" i="1"/>
  <c r="E79" i="1"/>
  <c r="E80" i="1"/>
  <c r="E81" i="1"/>
  <c r="E82" i="1"/>
  <c r="E83" i="1"/>
  <c r="E84" i="1"/>
  <c r="E85" i="1"/>
  <c r="E86" i="1"/>
  <c r="E87" i="1"/>
  <c r="E75" i="1"/>
  <c r="D76" i="1"/>
  <c r="D77" i="1"/>
  <c r="D78" i="1"/>
  <c r="D79" i="1"/>
  <c r="D80" i="1"/>
  <c r="D81" i="1"/>
  <c r="D82" i="1"/>
  <c r="D83" i="1"/>
  <c r="D84" i="1"/>
  <c r="D85" i="1"/>
  <c r="D86" i="1"/>
  <c r="D87" i="1"/>
  <c r="D75" i="1"/>
  <c r="C75" i="1"/>
  <c r="B75" i="1" a="1"/>
  <c r="B75" i="1" s="1"/>
  <c r="A75" i="1" a="1"/>
  <c r="A75" i="1" s="1"/>
  <c r="C71" i="1"/>
  <c r="C70" i="1"/>
  <c r="C69" i="1"/>
  <c r="B71" i="1"/>
  <c r="B69" i="1"/>
  <c r="B39" i="1"/>
  <c r="B40" i="1"/>
  <c r="C40" i="1" s="1"/>
  <c r="C38" i="1"/>
  <c r="E14" i="1"/>
  <c r="C30" i="1"/>
  <c r="C7" i="1"/>
  <c r="C6" i="1"/>
  <c r="A45" i="1" s="1" a="1"/>
  <c r="A45" i="1" s="1"/>
  <c r="B45" i="1" s="1" a="1"/>
  <c r="B45" i="1" s="1"/>
  <c r="C5" i="1"/>
  <c r="C39" i="1" s="1"/>
  <c r="C4" i="1"/>
  <c r="C45" i="1" l="1" a="1"/>
  <c r="C45" i="1" s="1"/>
  <c r="A14" i="1" a="1"/>
  <c r="A14" i="1" s="1"/>
  <c r="B14" i="1" s="1" a="1"/>
  <c r="B14" i="1" s="1"/>
  <c r="C14" i="1" s="1"/>
  <c r="B47" i="1" a="1"/>
  <c r="B47" i="1" s="1"/>
  <c r="C47" i="1" s="1" a="1"/>
  <c r="C47" i="1" s="1"/>
  <c r="B54" i="1" a="1"/>
  <c r="B54" i="1" s="1"/>
  <c r="C54" i="1" s="1" a="1"/>
  <c r="C54" i="1" s="1"/>
  <c r="B57" i="1" a="1"/>
  <c r="B57" i="1" s="1"/>
  <c r="C57" i="1" s="1" a="1"/>
  <c r="C57" i="1" s="1"/>
  <c r="B52" i="1" a="1"/>
  <c r="B52" i="1" s="1"/>
  <c r="C52" i="1" s="1" a="1"/>
  <c r="C52" i="1" s="1"/>
  <c r="B51" i="1" a="1"/>
  <c r="B51" i="1" s="1"/>
  <c r="C51" i="1" s="1" a="1"/>
  <c r="C51" i="1" s="1"/>
  <c r="B56" i="1" a="1"/>
  <c r="B56" i="1" s="1"/>
  <c r="C56" i="1" s="1" a="1"/>
  <c r="C56" i="1" s="1"/>
  <c r="B50" i="1" a="1"/>
  <c r="B50" i="1" s="1"/>
  <c r="C50" i="1" s="1" a="1"/>
  <c r="C50" i="1" s="1"/>
  <c r="B55" i="1" a="1"/>
  <c r="B55" i="1" s="1"/>
  <c r="C55" i="1" s="1" a="1"/>
  <c r="C55" i="1" s="1"/>
  <c r="B53" i="1" a="1"/>
  <c r="B53" i="1" s="1"/>
  <c r="C53" i="1" s="1" a="1"/>
  <c r="C53" i="1" s="1"/>
  <c r="B49" i="1" a="1"/>
  <c r="B49" i="1" s="1"/>
  <c r="C49" i="1" s="1" a="1"/>
  <c r="C49" i="1" s="1"/>
  <c r="B48" i="1" a="1"/>
  <c r="B48" i="1" s="1"/>
  <c r="C48" i="1" s="1" a="1"/>
  <c r="C48" i="1" s="1"/>
  <c r="B46" i="1" a="1"/>
  <c r="B46" i="1" s="1"/>
  <c r="C46" i="1" s="1"/>
  <c r="C59" i="1" l="1"/>
  <c r="B15" i="1" a="1"/>
  <c r="B15" i="1" s="1"/>
  <c r="C15" i="1" s="1"/>
  <c r="B23" i="1" a="1"/>
  <c r="B23" i="1" s="1"/>
  <c r="C23" i="1" s="1"/>
  <c r="B24" i="1" a="1"/>
  <c r="B24" i="1" s="1"/>
  <c r="C24" i="1" s="1"/>
  <c r="B22" i="1" a="1"/>
  <c r="B22" i="1" s="1"/>
  <c r="C22" i="1" s="1"/>
  <c r="B20" i="1" a="1"/>
  <c r="B20" i="1" s="1"/>
  <c r="C20" i="1" s="1"/>
  <c r="B21" i="1" a="1"/>
  <c r="B21" i="1" s="1"/>
  <c r="C21" i="1" s="1"/>
  <c r="B16" i="1" a="1"/>
  <c r="B16" i="1" s="1"/>
  <c r="C16" i="1" s="1"/>
  <c r="B25" i="1" a="1"/>
  <c r="B25" i="1" s="1"/>
  <c r="C25" i="1" s="1"/>
  <c r="B26" i="1" a="1"/>
  <c r="B26" i="1" s="1"/>
  <c r="C26" i="1" s="1"/>
  <c r="B17" i="1" a="1"/>
  <c r="B17" i="1" s="1"/>
  <c r="C17" i="1" s="1"/>
  <c r="B18" i="1" a="1"/>
  <c r="B18" i="1" s="1"/>
  <c r="C18" i="1" s="1"/>
  <c r="B19" i="1" a="1"/>
  <c r="B19" i="1" s="1"/>
  <c r="C19" i="1" s="1"/>
  <c r="C28" i="1" l="1"/>
  <c r="D17" i="1" l="1"/>
  <c r="C61" i="1"/>
  <c r="C62" i="1" s="1"/>
  <c r="D14" i="1"/>
  <c r="D15" i="1"/>
  <c r="D20" i="1"/>
  <c r="D16" i="1"/>
  <c r="D22" i="1"/>
  <c r="D23" i="1"/>
  <c r="D25" i="1"/>
  <c r="D18" i="1"/>
  <c r="D21" i="1"/>
  <c r="D24" i="1"/>
  <c r="D19" i="1"/>
  <c r="D26" i="1"/>
  <c r="E28" i="1" l="1"/>
  <c r="C2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<sst xmlns="http://schemas.openxmlformats.org/spreadsheetml/2006/main" count="49" uniqueCount="42">
  <si>
    <t>Reference Bond: 4% XYZ Corp. 6 years, YTM 8%</t>
  </si>
  <si>
    <t>Bond Terms</t>
  </si>
  <si>
    <t>Annual</t>
  </si>
  <si>
    <t>Periodic</t>
  </si>
  <si>
    <t>Coupon Rate</t>
  </si>
  <si>
    <t>YTM</t>
  </si>
  <si>
    <t>Term to Maturity</t>
  </si>
  <si>
    <t>Par Value</t>
  </si>
  <si>
    <t>Compounding Frequency</t>
  </si>
  <si>
    <t>BOND VALUATION/PRICING AND DURATION CALCULATION</t>
  </si>
  <si>
    <t>Time Period</t>
  </si>
  <si>
    <t>Bond Cash Flow</t>
  </si>
  <si>
    <t>PV(CF)</t>
  </si>
  <si>
    <t>Bond Price:</t>
  </si>
  <si>
    <t>t*PVF/Price</t>
  </si>
  <si>
    <t>Periodic Duration:</t>
  </si>
  <si>
    <t>Annual Duration:</t>
  </si>
  <si>
    <t xml:space="preserve">Annual Duration via DURATION: </t>
  </si>
  <si>
    <t>DURATION Function</t>
  </si>
  <si>
    <t>HOLDING PERIOD RETURN CALCULATION</t>
  </si>
  <si>
    <t>PV(CF) as of HP</t>
  </si>
  <si>
    <t>Assumed Holding Period</t>
  </si>
  <si>
    <t>Assumed Change in Yield</t>
  </si>
  <si>
    <t>Period</t>
  </si>
  <si>
    <t>Old YTM</t>
  </si>
  <si>
    <t>New YTM</t>
  </si>
  <si>
    <t>Value at Holding Period:</t>
  </si>
  <si>
    <t>Annualized HPR:</t>
  </si>
  <si>
    <t>Cumulative HPR:</t>
  </si>
  <si>
    <t>PORTFOLIO IMMUNIZATION CALCULATION</t>
  </si>
  <si>
    <t>Original Bond</t>
  </si>
  <si>
    <t>Money Market Instrument</t>
  </si>
  <si>
    <t>Portfolio</t>
  </si>
  <si>
    <t>Duration</t>
  </si>
  <si>
    <t>Weight</t>
  </si>
  <si>
    <t>Portfolio Duration Formula:</t>
  </si>
  <si>
    <r>
      <rPr>
        <b/>
        <sz val="12"/>
        <color theme="1"/>
        <rFont val="Aptos Narrow"/>
        <family val="2"/>
        <scheme val="minor"/>
      </rPr>
      <t>wbond</t>
    </r>
    <r>
      <rPr>
        <sz val="11"/>
        <color theme="1"/>
        <rFont val="Aptos Narrow"/>
        <family val="2"/>
        <scheme val="minor"/>
      </rPr>
      <t>*durbond + (1-wbond)*0=annholdper</t>
    </r>
  </si>
  <si>
    <t>Money Market Cash Flow</t>
  </si>
  <si>
    <t>Portfolio Cash Flow</t>
  </si>
  <si>
    <t>PVCF at Holding Period</t>
  </si>
  <si>
    <t>Value of Portfolio at Holding Period:</t>
  </si>
  <si>
    <t>Original Bond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</si>
</sst>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9" fontId="0" fillId="0" borderId="0" xfId="0" applyNumberFormat="1"/>
    <xf numFmtId="0" fontId="3" fillId="2" borderId="0" xfId="0" applyFont="1" applyFill="1"/>
    <xf numFmtId="0" fontId="0" fillId="2" borderId="0" xfId="0" applyFill="1"/>
    <xf numFmtId="44" fontId="0" fillId="0" borderId="0" xfId="1" applyFont="1"/>
    <xf numFmtId="44" fontId="2" fillId="3" borderId="2" xfId="1" applyFont="1" applyFill="1" applyBorder="1"/>
    <xf numFmtId="0" fontId="2" fillId="3" borderId="1" xfId="0" applyFont="1" applyFill="1" applyBorder="1"/>
    <xf numFmtId="164" fontId="2" fillId="3" borderId="2" xfId="0" applyNumberFormat="1" applyFont="1" applyFill="1" applyBorder="1"/>
    <xf numFmtId="0" fontId="2" fillId="0" borderId="1" xfId="0" applyFont="1" applyBorder="1"/>
    <xf numFmtId="164" fontId="2" fillId="0" borderId="2" xfId="0" applyNumberFormat="1" applyFont="1" applyBorder="1"/>
    <xf numFmtId="0" fontId="2" fillId="0" borderId="3" xfId="0" applyFont="1" applyBorder="1"/>
    <xf numFmtId="0" fontId="2" fillId="3" borderId="2" xfId="0" applyFont="1" applyFill="1" applyBorder="1"/>
    <xf numFmtId="0" fontId="2" fillId="3" borderId="1" xfId="0" applyFont="1" applyFill="1" applyBorder="1" applyAlignment="1">
      <alignment wrapText="1"/>
    </xf>
    <xf numFmtId="0" fontId="3" fillId="0" borderId="0" xfId="0" applyFont="1" applyFill="1"/>
    <xf numFmtId="0" fontId="0" fillId="0" borderId="0" xfId="0" applyFill="1"/>
    <xf numFmtId="10" fontId="0" fillId="0" borderId="0" xfId="2" applyNumberFormat="1" applyFont="1"/>
    <xf numFmtId="10" fontId="0" fillId="0" borderId="0" xfId="0" applyNumberFormat="1"/>
    <xf numFmtId="0" fontId="0" fillId="0" borderId="0" xfId="0" applyFont="1"/>
    <xf numFmtId="2" fontId="0" fillId="0" borderId="0" xfId="0" applyNumberFormat="1"/>
    <xf numFmtId="0" fontId="2" fillId="3" borderId="4" xfId="0" applyFont="1" applyFill="1" applyBorder="1" applyAlignment="1">
      <alignment wrapText="1"/>
    </xf>
    <xf numFmtId="2" fontId="2" fillId="3" borderId="5" xfId="0" applyNumberFormat="1" applyFont="1" applyFill="1" applyBorder="1"/>
    <xf numFmtId="0" fontId="2" fillId="3" borderId="6" xfId="0" applyFont="1" applyFill="1" applyBorder="1"/>
    <xf numFmtId="2" fontId="2" fillId="3" borderId="7" xfId="0" applyNumberFormat="1" applyFont="1" applyFill="1" applyBorder="1"/>
    <xf numFmtId="10" fontId="2" fillId="3" borderId="7" xfId="2" applyNumberFormat="1" applyFont="1" applyFill="1" applyBorder="1"/>
    <xf numFmtId="0" fontId="2" fillId="3" borderId="8" xfId="0" applyFont="1" applyFill="1" applyBorder="1"/>
    <xf numFmtId="10" fontId="2" fillId="3" borderId="9" xfId="2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DEB77-3A3D-4C9A-B71F-96F5B0E27C5A}">
  <dimension ref="A1:E92"/>
  <sheetViews>
    <sheetView tabSelected="1" topLeftCell="A18" zoomScale="85" zoomScaleNormal="85" workbookViewId="0">
      <selection activeCell="D61" sqref="D61"/>
    </sheetView>
  </sheetViews>
  <sheetFormatPr defaultRowHeight="14.4" x14ac:dyDescent="0.55000000000000004"/>
  <cols>
    <col min="1" max="1" width="23.68359375" customWidth="1"/>
    <col min="2" max="2" width="19.3125" customWidth="1"/>
    <col min="3" max="3" width="25.5234375" customWidth="1"/>
    <col min="4" max="4" width="30.734375" customWidth="1"/>
    <col min="5" max="5" width="22.26171875" customWidth="1"/>
  </cols>
  <sheetData>
    <row r="1" spans="1:5" ht="15.6" x14ac:dyDescent="0.6">
      <c r="A1" s="2" t="s">
        <v>0</v>
      </c>
    </row>
    <row r="3" spans="1:5" ht="15.6" x14ac:dyDescent="0.6">
      <c r="A3" s="3" t="s">
        <v>1</v>
      </c>
      <c r="B3" s="3" t="s">
        <v>2</v>
      </c>
      <c r="C3" s="3" t="s">
        <v>3</v>
      </c>
    </row>
    <row r="4" spans="1:5" ht="15.6" x14ac:dyDescent="0.6">
      <c r="A4" s="4" t="s">
        <v>4</v>
      </c>
      <c r="B4" s="6">
        <v>0.04</v>
      </c>
      <c r="C4">
        <f>anncpr / 2</f>
        <v>0.02</v>
      </c>
    </row>
    <row r="5" spans="1:5" x14ac:dyDescent="0.55000000000000004">
      <c r="A5" t="s">
        <v>5</v>
      </c>
      <c r="B5" s="6">
        <v>0.08</v>
      </c>
      <c r="C5">
        <f>annytm / 2</f>
        <v>0.04</v>
      </c>
    </row>
    <row r="6" spans="1:5" ht="15.6" x14ac:dyDescent="0.6">
      <c r="A6" s="4" t="s">
        <v>6</v>
      </c>
      <c r="B6">
        <v>6</v>
      </c>
      <c r="C6">
        <f>annttm*freq</f>
        <v>12</v>
      </c>
    </row>
    <row r="7" spans="1:5" ht="16.5" customHeight="1" x14ac:dyDescent="0.6">
      <c r="A7" s="4" t="s">
        <v>7</v>
      </c>
      <c r="B7" s="9">
        <v>1000</v>
      </c>
      <c r="C7" s="9">
        <f>parval</f>
        <v>1000</v>
      </c>
    </row>
    <row r="8" spans="1:5" ht="14.1" customHeight="1" x14ac:dyDescent="0.6">
      <c r="A8" s="5" t="s">
        <v>8</v>
      </c>
      <c r="B8">
        <v>2</v>
      </c>
      <c r="C8">
        <v>2</v>
      </c>
    </row>
    <row r="10" spans="1:5" ht="15.6" x14ac:dyDescent="0.6">
      <c r="A10" s="7" t="s">
        <v>9</v>
      </c>
      <c r="B10" s="8"/>
      <c r="C10" s="8"/>
      <c r="D10" s="8"/>
    </row>
    <row r="13" spans="1:5" s="1" customFormat="1" x14ac:dyDescent="0.55000000000000004">
      <c r="A13" s="15" t="s">
        <v>10</v>
      </c>
      <c r="B13" s="15" t="s">
        <v>11</v>
      </c>
      <c r="C13" s="15" t="s">
        <v>12</v>
      </c>
      <c r="D13" s="15" t="s">
        <v>14</v>
      </c>
      <c r="E13" s="15" t="s">
        <v>18</v>
      </c>
    </row>
    <row r="14" spans="1:5" x14ac:dyDescent="0.55000000000000004">
      <c r="A14" cm="1">
        <f t="array" ref="A14:A26">_xlfn.SEQUENCE(perttm+1,1,0,1)</f>
        <v>0</v>
      </c>
      <c r="B14" cm="1">
        <f t="array" ref="B14">_xlfn.IFS(A14=0,0,A14&lt;perttm,percpr*parval,A14=perttm, percpr*parval+parval)</f>
        <v>0</v>
      </c>
      <c r="C14">
        <f t="shared" ref="C14:C26" si="0">B14/(1+perytm)^A14</f>
        <v>0</v>
      </c>
      <c r="D14">
        <f t="shared" ref="D14:D26" si="1">A14*C14/bondprice</f>
        <v>0</v>
      </c>
      <c r="E14">
        <f>DURATION(DATE(2026,7,25), DATE(2032,7,25), 0.04, 0.08, 2, 0)</f>
        <v>5.3107449968407279</v>
      </c>
    </row>
    <row r="15" spans="1:5" x14ac:dyDescent="0.55000000000000004">
      <c r="A15">
        <v>1</v>
      </c>
      <c r="B15" cm="1">
        <f t="array" ref="B15">_xlfn.IFS(A15=0,0,A15&lt;perttm,percpr*parval,A15=perttm, percpr*parval+parval)</f>
        <v>20</v>
      </c>
      <c r="C15">
        <f t="shared" si="0"/>
        <v>19.23076923076923</v>
      </c>
      <c r="D15">
        <f t="shared" si="1"/>
        <v>2.3674509609309106E-2</v>
      </c>
    </row>
    <row r="16" spans="1:5" x14ac:dyDescent="0.55000000000000004">
      <c r="A16">
        <v>2</v>
      </c>
      <c r="B16" cm="1">
        <f t="array" ref="B16">_xlfn.IFS(A16=0,0,A16&lt;perttm,percpr*parval,A16=perttm, percpr*parval+parval)</f>
        <v>20</v>
      </c>
      <c r="C16">
        <f t="shared" si="0"/>
        <v>18.491124260355029</v>
      </c>
      <c r="D16">
        <f t="shared" si="1"/>
        <v>4.5527903094825205E-2</v>
      </c>
    </row>
    <row r="17" spans="1:5" x14ac:dyDescent="0.55000000000000004">
      <c r="A17">
        <v>3</v>
      </c>
      <c r="B17" cm="1">
        <f t="array" ref="B17">_xlfn.IFS(A17=0,0,A17&lt;perttm,percpr*parval,A17=perttm, percpr*parval+parval)</f>
        <v>20</v>
      </c>
      <c r="C17">
        <f t="shared" si="0"/>
        <v>17.779927173418297</v>
      </c>
      <c r="D17">
        <f t="shared" si="1"/>
        <v>6.5665244848305576E-2</v>
      </c>
    </row>
    <row r="18" spans="1:5" x14ac:dyDescent="0.55000000000000004">
      <c r="A18">
        <v>4</v>
      </c>
      <c r="B18" cm="1">
        <f t="array" ref="B18">_xlfn.IFS(A18=0,0,A18&lt;perttm,percpr*parval,A18=perttm, percpr*parval+parval)</f>
        <v>20</v>
      </c>
      <c r="C18">
        <f t="shared" si="0"/>
        <v>17.096083820594515</v>
      </c>
      <c r="D18">
        <f t="shared" si="1"/>
        <v>8.4186211343981507E-2</v>
      </c>
    </row>
    <row r="19" spans="1:5" x14ac:dyDescent="0.55000000000000004">
      <c r="A19">
        <v>5</v>
      </c>
      <c r="B19" cm="1">
        <f t="array" ref="B19">_xlfn.IFS(A19=0,0,A19&lt;perttm,percpr*parval,A19=perttm, percpr*parval+parval)</f>
        <v>20</v>
      </c>
      <c r="C19">
        <f t="shared" si="0"/>
        <v>16.438542135187031</v>
      </c>
      <c r="D19">
        <f t="shared" si="1"/>
        <v>0.10118535017305469</v>
      </c>
    </row>
    <row r="20" spans="1:5" x14ac:dyDescent="0.55000000000000004">
      <c r="A20">
        <v>6</v>
      </c>
      <c r="B20" cm="1">
        <f t="array" ref="B20">_xlfn.IFS(A20=0,0,A20&lt;perttm,percpr*parval,A20=perttm, percpr*parval+parval)</f>
        <v>20</v>
      </c>
      <c r="C20">
        <f t="shared" si="0"/>
        <v>15.806290514602914</v>
      </c>
      <c r="D20">
        <f t="shared" si="1"/>
        <v>0.11675232712275539</v>
      </c>
    </row>
    <row r="21" spans="1:5" x14ac:dyDescent="0.55000000000000004">
      <c r="A21">
        <v>7</v>
      </c>
      <c r="B21" cm="1">
        <f t="array" ref="B21">_xlfn.IFS(A21=0,0,A21&lt;perttm,percpr*parval,A21=perttm, percpr*parval+parval)</f>
        <v>20</v>
      </c>
      <c r="C21">
        <f t="shared" si="0"/>
        <v>15.198356264041266</v>
      </c>
      <c r="D21">
        <f t="shared" si="1"/>
        <v>0.13097216183642435</v>
      </c>
    </row>
    <row r="22" spans="1:5" x14ac:dyDescent="0.55000000000000004">
      <c r="A22">
        <v>8</v>
      </c>
      <c r="B22" cm="1">
        <f t="array" ref="B22">_xlfn.IFS(A22=0,0,A22&lt;perttm,percpr*parval,A22=perttm, percpr*parval+parval)</f>
        <v>20</v>
      </c>
      <c r="C22">
        <f t="shared" si="0"/>
        <v>14.613804100039676</v>
      </c>
      <c r="D22">
        <f t="shared" si="1"/>
        <v>0.14392545256749925</v>
      </c>
    </row>
    <row r="23" spans="1:5" x14ac:dyDescent="0.55000000000000004">
      <c r="A23">
        <v>9</v>
      </c>
      <c r="B23" cm="1">
        <f t="array" ref="B23">_xlfn.IFS(A23=0,0,A23&lt;perttm,percpr*parval,A23=perttm, percpr*parval+parval)</f>
        <v>20</v>
      </c>
      <c r="C23">
        <f t="shared" si="0"/>
        <v>14.051734711576611</v>
      </c>
      <c r="D23">
        <f t="shared" si="1"/>
        <v>0.15568859051772754</v>
      </c>
    </row>
    <row r="24" spans="1:5" x14ac:dyDescent="0.55000000000000004">
      <c r="A24">
        <v>10</v>
      </c>
      <c r="B24" cm="1">
        <f t="array" ref="B24">_xlfn.IFS(A24=0,0,A24&lt;perttm,percpr*parval,A24=perttm, percpr*parval+parval)</f>
        <v>20</v>
      </c>
      <c r="C24">
        <f t="shared" si="0"/>
        <v>13.511283376515971</v>
      </c>
      <c r="D24">
        <f t="shared" si="1"/>
        <v>0.16633396422834137</v>
      </c>
    </row>
    <row r="25" spans="1:5" x14ac:dyDescent="0.55000000000000004">
      <c r="A25">
        <v>11</v>
      </c>
      <c r="B25" cm="1">
        <f t="array" ref="B25">_xlfn.IFS(A25=0,0,A25&lt;perttm,percpr*parval,A25=perttm, percpr*parval+parval)</f>
        <v>20</v>
      </c>
      <c r="C25">
        <f t="shared" si="0"/>
        <v>12.991618631265357</v>
      </c>
      <c r="D25">
        <f t="shared" si="1"/>
        <v>0.17593015447228416</v>
      </c>
    </row>
    <row r="26" spans="1:5" x14ac:dyDescent="0.55000000000000004">
      <c r="A26">
        <v>12</v>
      </c>
      <c r="B26" cm="1">
        <f t="array" ref="B26">_xlfn.IFS(A26=0,0,A26&lt;perttm,percpr*parval,A26=perttm, percpr*parval+parval)</f>
        <v>1020</v>
      </c>
      <c r="C26">
        <f t="shared" si="0"/>
        <v>637.08899057166639</v>
      </c>
      <c r="D26">
        <f t="shared" si="1"/>
        <v>9.4116481238669483</v>
      </c>
    </row>
    <row r="27" spans="1:5" ht="14.7" thickBot="1" x14ac:dyDescent="0.6"/>
    <row r="28" spans="1:5" ht="14.7" thickBot="1" x14ac:dyDescent="0.6">
      <c r="B28" s="11" t="s">
        <v>13</v>
      </c>
      <c r="C28" s="10">
        <f>SUM(C14:C26)</f>
        <v>812.29852479003227</v>
      </c>
      <c r="D28" s="13" t="s">
        <v>15</v>
      </c>
      <c r="E28" s="14">
        <f>SUM(D14:D26)</f>
        <v>10.621489993681458</v>
      </c>
    </row>
    <row r="29" spans="1:5" ht="14.7" thickBot="1" x14ac:dyDescent="0.6">
      <c r="B29" s="11" t="s">
        <v>16</v>
      </c>
      <c r="C29" s="12">
        <f>perdur/freq</f>
        <v>5.3107449968407288</v>
      </c>
    </row>
    <row r="30" spans="1:5" ht="29.1" thickBot="1" x14ac:dyDescent="0.6">
      <c r="B30" s="17" t="s">
        <v>17</v>
      </c>
      <c r="C30" s="12">
        <f>DURATION(DATE(2026,7,25), DATE(2032,7,25), 0.04, 0.08, 2, 0)</f>
        <v>5.3107449968407279</v>
      </c>
    </row>
    <row r="33" spans="1:5" ht="15.6" x14ac:dyDescent="0.6">
      <c r="A33" s="7" t="s">
        <v>19</v>
      </c>
      <c r="B33" s="8"/>
      <c r="C33" s="8"/>
      <c r="D33" s="8"/>
    </row>
    <row r="34" spans="1:5" ht="15.6" x14ac:dyDescent="0.6">
      <c r="A34" s="2"/>
    </row>
    <row r="35" spans="1:5" ht="15.6" x14ac:dyDescent="0.6">
      <c r="A35" s="2"/>
    </row>
    <row r="36" spans="1:5" ht="15.6" x14ac:dyDescent="0.6">
      <c r="A36" s="2"/>
      <c r="B36" s="1" t="s">
        <v>2</v>
      </c>
      <c r="C36" s="1" t="s">
        <v>23</v>
      </c>
    </row>
    <row r="37" spans="1:5" x14ac:dyDescent="0.55000000000000004">
      <c r="A37" s="1" t="s">
        <v>21</v>
      </c>
      <c r="B37">
        <v>4</v>
      </c>
      <c r="C37">
        <v>8</v>
      </c>
    </row>
    <row r="38" spans="1:5" x14ac:dyDescent="0.55000000000000004">
      <c r="A38" s="1" t="s">
        <v>22</v>
      </c>
      <c r="B38" s="6">
        <v>0.01</v>
      </c>
      <c r="C38">
        <f>anndeltay/2</f>
        <v>5.0000000000000001E-3</v>
      </c>
    </row>
    <row r="39" spans="1:5" x14ac:dyDescent="0.55000000000000004">
      <c r="A39" s="1" t="s">
        <v>24</v>
      </c>
      <c r="B39" s="6">
        <f>annytm</f>
        <v>0.08</v>
      </c>
      <c r="C39">
        <f>perytm</f>
        <v>0.04</v>
      </c>
    </row>
    <row r="40" spans="1:5" x14ac:dyDescent="0.55000000000000004">
      <c r="A40" s="1" t="s">
        <v>25</v>
      </c>
      <c r="B40" s="6">
        <f>annytm+anndeltay</f>
        <v>0.09</v>
      </c>
      <c r="C40">
        <f>annnewytm / 2</f>
        <v>4.4999999999999998E-2</v>
      </c>
    </row>
    <row r="41" spans="1:5" x14ac:dyDescent="0.55000000000000004">
      <c r="A41" s="1"/>
      <c r="B41" s="6"/>
    </row>
    <row r="42" spans="1:5" x14ac:dyDescent="0.55000000000000004">
      <c r="A42" s="1"/>
    </row>
    <row r="44" spans="1:5" s="1" customFormat="1" x14ac:dyDescent="0.55000000000000004">
      <c r="A44" s="15" t="s">
        <v>10</v>
      </c>
      <c r="B44" s="15" t="s">
        <v>11</v>
      </c>
      <c r="C44" s="15" t="s">
        <v>20</v>
      </c>
      <c r="D44" s="15"/>
      <c r="E44" s="15"/>
    </row>
    <row r="45" spans="1:5" x14ac:dyDescent="0.55000000000000004">
      <c r="A45" cm="1">
        <f t="array" ref="A45:A57">_xlfn.SEQUENCE(perttm+1,1,0,1)</f>
        <v>0</v>
      </c>
      <c r="B45" cm="1">
        <f t="array" ref="B45">_xlfn.IFS(A45=0,0,A45&lt;perttm,percpr*parval,A45=perttm, percpr*parval+parval)</f>
        <v>0</v>
      </c>
      <c r="C45" cm="1">
        <f t="array" ref="C45">B45/(1+pernewytm)^(A45-perholdper)</f>
        <v>0</v>
      </c>
    </row>
    <row r="46" spans="1:5" x14ac:dyDescent="0.55000000000000004">
      <c r="A46">
        <v>1</v>
      </c>
      <c r="B46" cm="1">
        <f t="array" ref="B46">_xlfn.IFS(A46=0,0,A46&lt;perttm,percpr*parval,A46=perttm, percpr*parval+parval)</f>
        <v>20</v>
      </c>
      <c r="C46">
        <f>B46/(1+pernewytm)^(A46-perholdper)</f>
        <v>27.217236609313062</v>
      </c>
    </row>
    <row r="47" spans="1:5" x14ac:dyDescent="0.55000000000000004">
      <c r="A47">
        <v>2</v>
      </c>
      <c r="B47" cm="1">
        <f t="array" ref="B47">_xlfn.IFS(A47=0,0,A47&lt;perttm,percpr*parval,A47=perttm, percpr*parval+parval)</f>
        <v>20</v>
      </c>
      <c r="C47" cm="1">
        <f t="array" ref="C47">B47/(1+pernewytm)^(A47-perholdper)</f>
        <v>26.045202496950296</v>
      </c>
    </row>
    <row r="48" spans="1:5" x14ac:dyDescent="0.55000000000000004">
      <c r="A48">
        <v>3</v>
      </c>
      <c r="B48" cm="1">
        <f t="array" ref="B48">_xlfn.IFS(A48=0,0,A48&lt;perttm,percpr*parval,A48=perttm, percpr*parval+parval)</f>
        <v>20</v>
      </c>
      <c r="C48" cm="1">
        <f t="array" ref="C48">B48/(1+pernewytm)^(A48-perholdper)</f>
        <v>24.923638753062491</v>
      </c>
    </row>
    <row r="49" spans="1:3" x14ac:dyDescent="0.55000000000000004">
      <c r="A49">
        <v>4</v>
      </c>
      <c r="B49" cm="1">
        <f t="array" ref="B49">_xlfn.IFS(A49=0,0,A49&lt;perttm,percpr*parval,A49=perttm, percpr*parval+parval)</f>
        <v>20</v>
      </c>
      <c r="C49" cm="1">
        <f t="array" ref="C49">B49/(1+pernewytm)^(A49-perholdper)</f>
        <v>23.850372012499989</v>
      </c>
    </row>
    <row r="50" spans="1:3" x14ac:dyDescent="0.55000000000000004">
      <c r="A50">
        <v>5</v>
      </c>
      <c r="B50" cm="1">
        <f t="array" ref="B50">_xlfn.IFS(A50=0,0,A50&lt;perttm,percpr*parval,A50=perttm, percpr*parval+parval)</f>
        <v>20</v>
      </c>
      <c r="C50" cm="1">
        <f t="array" ref="C50">B50/(1+pernewytm)^(A50-perholdper)</f>
        <v>22.823322499999996</v>
      </c>
    </row>
    <row r="51" spans="1:3" x14ac:dyDescent="0.55000000000000004">
      <c r="A51">
        <v>6</v>
      </c>
      <c r="B51" cm="1">
        <f t="array" ref="B51">_xlfn.IFS(A51=0,0,A51&lt;perttm,percpr*parval,A51=perttm, percpr*parval+parval)</f>
        <v>20</v>
      </c>
      <c r="C51" cm="1">
        <f t="array" ref="C51">B51/(1+pernewytm)^(A51-perholdper)</f>
        <v>21.840499999999999</v>
      </c>
    </row>
    <row r="52" spans="1:3" x14ac:dyDescent="0.55000000000000004">
      <c r="A52">
        <v>7</v>
      </c>
      <c r="B52" cm="1">
        <f t="array" ref="B52">_xlfn.IFS(A52=0,0,A52&lt;perttm,percpr*parval,A52=perttm, percpr*parval+parval)</f>
        <v>20</v>
      </c>
      <c r="C52" cm="1">
        <f t="array" ref="C52">B52/(1+pernewytm)^(A52-perholdper)</f>
        <v>20.9</v>
      </c>
    </row>
    <row r="53" spans="1:3" x14ac:dyDescent="0.55000000000000004">
      <c r="A53">
        <v>8</v>
      </c>
      <c r="B53" cm="1">
        <f t="array" ref="B53">_xlfn.IFS(A53=0,0,A53&lt;perttm,percpr*parval,A53=perttm, percpr*parval+parval)</f>
        <v>20</v>
      </c>
      <c r="C53" cm="1">
        <f t="array" ref="C53">B53/(1+pernewytm)^(A53-perholdper)</f>
        <v>20</v>
      </c>
    </row>
    <row r="54" spans="1:3" x14ac:dyDescent="0.55000000000000004">
      <c r="A54">
        <v>9</v>
      </c>
      <c r="B54" cm="1">
        <f t="array" ref="B54">_xlfn.IFS(A54=0,0,A54&lt;perttm,percpr*parval,A54=perttm, percpr*parval+parval)</f>
        <v>20</v>
      </c>
      <c r="C54" cm="1">
        <f t="array" ref="C54">B54/(1+pernewytm)^(A54-perholdper)</f>
        <v>19.138755980861244</v>
      </c>
    </row>
    <row r="55" spans="1:3" x14ac:dyDescent="0.55000000000000004">
      <c r="A55">
        <v>10</v>
      </c>
      <c r="B55" cm="1">
        <f t="array" ref="B55">_xlfn.IFS(A55=0,0,A55&lt;perttm,percpr*parval,A55=perttm, percpr*parval+parval)</f>
        <v>20</v>
      </c>
      <c r="C55" cm="1">
        <f t="array" ref="C55">B55/(1+pernewytm)^(A55-perholdper)</f>
        <v>18.314599024747604</v>
      </c>
    </row>
    <row r="56" spans="1:3" x14ac:dyDescent="0.55000000000000004">
      <c r="A56">
        <v>11</v>
      </c>
      <c r="B56" cm="1">
        <f t="array" ref="B56">_xlfn.IFS(A56=0,0,A56&lt;perttm,percpr*parval,A56=perttm, percpr*parval+parval)</f>
        <v>20</v>
      </c>
      <c r="C56" cm="1">
        <f t="array" ref="C56">B56/(1+pernewytm)^(A56-perholdper)</f>
        <v>17.525932081098187</v>
      </c>
    </row>
    <row r="57" spans="1:3" x14ac:dyDescent="0.55000000000000004">
      <c r="A57">
        <v>12</v>
      </c>
      <c r="B57" cm="1">
        <f t="array" ref="B57">_xlfn.IFS(A57=0,0,A57&lt;perttm,percpr*parval,A57=perttm, percpr*parval+parval)</f>
        <v>1020</v>
      </c>
      <c r="C57" cm="1">
        <f t="array" ref="C57">B57/(1+pernewytm)^(A57-perholdper)</f>
        <v>855.33257046507924</v>
      </c>
    </row>
    <row r="58" spans="1:3" ht="14.7" thickBot="1" x14ac:dyDescent="0.6"/>
    <row r="59" spans="1:3" ht="14.7" thickBot="1" x14ac:dyDescent="0.6">
      <c r="B59" s="11" t="s">
        <v>26</v>
      </c>
      <c r="C59" s="10">
        <f>SUM(C45:C57)</f>
        <v>1097.9121299236122</v>
      </c>
    </row>
    <row r="60" spans="1:3" ht="14.7" thickBot="1" x14ac:dyDescent="0.6"/>
    <row r="61" spans="1:3" ht="14.7" thickBot="1" x14ac:dyDescent="0.6">
      <c r="B61" s="11" t="s">
        <v>28</v>
      </c>
      <c r="C61" s="16">
        <f>(hprval-bondprice)/bondprice</f>
        <v>0.3516116260427864</v>
      </c>
    </row>
    <row r="62" spans="1:3" ht="14.7" thickBot="1" x14ac:dyDescent="0.6">
      <c r="B62" s="11" t="s">
        <v>27</v>
      </c>
      <c r="C62" s="16">
        <f>(1+hprcu)^(1/annholdper)-1</f>
        <v>7.8233894118540093E-2</v>
      </c>
    </row>
    <row r="65" spans="1:5" ht="15.6" x14ac:dyDescent="0.6">
      <c r="A65" s="7" t="s">
        <v>29</v>
      </c>
      <c r="B65" s="8"/>
      <c r="C65" s="8"/>
      <c r="D65" s="8"/>
    </row>
    <row r="66" spans="1:5" s="19" customFormat="1" ht="15.6" x14ac:dyDescent="0.6">
      <c r="A66" s="18"/>
    </row>
    <row r="67" spans="1:5" s="19" customFormat="1" ht="15.6" x14ac:dyDescent="0.6">
      <c r="A67" s="18"/>
    </row>
    <row r="68" spans="1:5" x14ac:dyDescent="0.55000000000000004">
      <c r="B68" s="1" t="s">
        <v>33</v>
      </c>
      <c r="C68" s="1" t="s">
        <v>34</v>
      </c>
      <c r="E68" s="1" t="s">
        <v>35</v>
      </c>
    </row>
    <row r="69" spans="1:5" ht="15.6" x14ac:dyDescent="0.6">
      <c r="A69" s="1" t="s">
        <v>30</v>
      </c>
      <c r="B69">
        <f>anndur</f>
        <v>5.3107449968407288</v>
      </c>
      <c r="C69" s="20">
        <f>(annholdper-0)/(anndur-0)</f>
        <v>0.7531899954487612</v>
      </c>
      <c r="E69" t="s">
        <v>36</v>
      </c>
    </row>
    <row r="70" spans="1:5" x14ac:dyDescent="0.55000000000000004">
      <c r="A70" s="1" t="s">
        <v>31</v>
      </c>
      <c r="B70">
        <v>0</v>
      </c>
      <c r="C70" s="21">
        <f>1-C69</f>
        <v>0.2468100045512388</v>
      </c>
    </row>
    <row r="71" spans="1:5" x14ac:dyDescent="0.55000000000000004">
      <c r="A71" s="1" t="s">
        <v>32</v>
      </c>
      <c r="B71">
        <f>annholdper</f>
        <v>4</v>
      </c>
      <c r="C71" s="21">
        <f>SUM(C69,C70)</f>
        <v>1</v>
      </c>
    </row>
    <row r="74" spans="1:5" s="1" customFormat="1" x14ac:dyDescent="0.55000000000000004">
      <c r="A74" s="1" t="s">
        <v>10</v>
      </c>
      <c r="B74" s="1" t="s">
        <v>11</v>
      </c>
      <c r="C74" s="1" t="s">
        <v>37</v>
      </c>
      <c r="D74" s="1" t="s">
        <v>38</v>
      </c>
      <c r="E74" s="1" t="s">
        <v>39</v>
      </c>
    </row>
    <row r="75" spans="1:5" x14ac:dyDescent="0.55000000000000004">
      <c r="A75" s="22" cm="1">
        <f t="array" ref="A75:A87">_xlfn.SEQUENCE(perttm+1,1,0,1)</f>
        <v>0</v>
      </c>
      <c r="B75" s="23" cm="1">
        <f t="array" ref="B75:B87">wbond*(B45:B57)</f>
        <v>0</v>
      </c>
      <c r="C75" s="23">
        <f>(1-wbond)*bondprice</f>
        <v>200.48340260039242</v>
      </c>
      <c r="D75" s="23">
        <f>SUM(B75:C75)</f>
        <v>200.48340260039242</v>
      </c>
      <c r="E75" s="23">
        <f>D75/(1+pernewytm)^(A75-perholdper)</f>
        <v>285.10756970158627</v>
      </c>
    </row>
    <row r="76" spans="1:5" x14ac:dyDescent="0.55000000000000004">
      <c r="A76">
        <v>1</v>
      </c>
      <c r="B76" s="23">
        <v>15.063799908975223</v>
      </c>
      <c r="C76" s="23">
        <v>0</v>
      </c>
      <c r="D76" s="23">
        <f t="shared" ref="D76:D87" si="2">SUM(B76:C76)</f>
        <v>15.063799908975223</v>
      </c>
      <c r="E76" s="23">
        <f>D76/(1+pernewytm)^(A76-perholdper)</f>
        <v>20.49975031789636</v>
      </c>
    </row>
    <row r="77" spans="1:5" x14ac:dyDescent="0.55000000000000004">
      <c r="A77">
        <v>2</v>
      </c>
      <c r="B77" s="23">
        <v>15.063799908975223</v>
      </c>
      <c r="C77" s="23">
        <v>0</v>
      </c>
      <c r="D77" s="23">
        <f t="shared" si="2"/>
        <v>15.063799908975223</v>
      </c>
      <c r="E77" s="23">
        <f>D77/(1+pernewytm)^(A77-perholdper)</f>
        <v>19.616985950140055</v>
      </c>
    </row>
    <row r="78" spans="1:5" x14ac:dyDescent="0.55000000000000004">
      <c r="A78">
        <v>3</v>
      </c>
      <c r="B78" s="23">
        <v>15.063799908975223</v>
      </c>
      <c r="C78" s="23">
        <v>0</v>
      </c>
      <c r="D78" s="23">
        <f t="shared" si="2"/>
        <v>15.063799908975223</v>
      </c>
      <c r="E78" s="23">
        <f>D78/(1+pernewytm)^(A78-perholdper)</f>
        <v>18.772235358985704</v>
      </c>
    </row>
    <row r="79" spans="1:5" x14ac:dyDescent="0.55000000000000004">
      <c r="A79">
        <v>4</v>
      </c>
      <c r="B79" s="23">
        <v>15.063799908975223</v>
      </c>
      <c r="C79" s="23">
        <v>0</v>
      </c>
      <c r="D79" s="23">
        <f t="shared" si="2"/>
        <v>15.063799908975223</v>
      </c>
      <c r="E79" s="23">
        <f>D79/(1+pernewytm)^(A79-perholdper)</f>
        <v>17.963861587546127</v>
      </c>
    </row>
    <row r="80" spans="1:5" x14ac:dyDescent="0.55000000000000004">
      <c r="A80">
        <v>5</v>
      </c>
      <c r="B80" s="23">
        <v>15.063799908975223</v>
      </c>
      <c r="C80" s="23">
        <v>0</v>
      </c>
      <c r="D80" s="23">
        <f t="shared" si="2"/>
        <v>15.063799908975223</v>
      </c>
      <c r="E80" s="23">
        <f>D80/(1+pernewytm)^(A80-perholdper)</f>
        <v>17.190298169900608</v>
      </c>
    </row>
    <row r="81" spans="1:5" x14ac:dyDescent="0.55000000000000004">
      <c r="A81">
        <v>6</v>
      </c>
      <c r="B81" s="23">
        <v>15.063799908975223</v>
      </c>
      <c r="C81" s="23">
        <v>0</v>
      </c>
      <c r="D81" s="23">
        <f t="shared" si="2"/>
        <v>15.063799908975223</v>
      </c>
      <c r="E81" s="23">
        <f>D81/(1+pernewytm)^(A81-perholdper)</f>
        <v>16.450046095598665</v>
      </c>
    </row>
    <row r="82" spans="1:5" x14ac:dyDescent="0.55000000000000004">
      <c r="A82">
        <v>7</v>
      </c>
      <c r="B82" s="23">
        <v>15.063799908975223</v>
      </c>
      <c r="C82" s="23">
        <v>0</v>
      </c>
      <c r="D82" s="23">
        <f t="shared" si="2"/>
        <v>15.063799908975223</v>
      </c>
      <c r="E82" s="23">
        <f>D82/(1+pernewytm)^(A82-perholdper)</f>
        <v>15.741670904879106</v>
      </c>
    </row>
    <row r="83" spans="1:5" x14ac:dyDescent="0.55000000000000004">
      <c r="A83">
        <v>8</v>
      </c>
      <c r="B83" s="23">
        <v>15.063799908975223</v>
      </c>
      <c r="C83" s="23">
        <v>0</v>
      </c>
      <c r="D83" s="23">
        <f t="shared" si="2"/>
        <v>15.063799908975223</v>
      </c>
      <c r="E83" s="23">
        <f>D83/(1+pernewytm)^(A83-perholdper)</f>
        <v>15.063799908975223</v>
      </c>
    </row>
    <row r="84" spans="1:5" x14ac:dyDescent="0.55000000000000004">
      <c r="A84">
        <v>9</v>
      </c>
      <c r="B84" s="23">
        <v>15.063799908975223</v>
      </c>
      <c r="C84" s="23">
        <v>0</v>
      </c>
      <c r="D84" s="23">
        <f t="shared" si="2"/>
        <v>15.063799908975223</v>
      </c>
      <c r="E84" s="23">
        <f>D84/(1+pernewytm)^(A84-perholdper)</f>
        <v>14.415119530119831</v>
      </c>
    </row>
    <row r="85" spans="1:5" x14ac:dyDescent="0.55000000000000004">
      <c r="A85">
        <v>10</v>
      </c>
      <c r="B85" s="23">
        <v>15.063799908975223</v>
      </c>
      <c r="C85" s="23">
        <v>0</v>
      </c>
      <c r="D85" s="23">
        <f t="shared" si="2"/>
        <v>15.063799908975223</v>
      </c>
      <c r="E85" s="23">
        <f>D85/(1+pernewytm)^(A85-perholdper)</f>
        <v>13.794372756095534</v>
      </c>
    </row>
    <row r="86" spans="1:5" x14ac:dyDescent="0.55000000000000004">
      <c r="A86">
        <v>11</v>
      </c>
      <c r="B86" s="23">
        <v>15.063799908975223</v>
      </c>
      <c r="C86" s="23">
        <v>0</v>
      </c>
      <c r="D86" s="23">
        <f t="shared" si="2"/>
        <v>15.063799908975223</v>
      </c>
      <c r="E86" s="23">
        <f>D86/(1+pernewytm)^(A86-perholdper)</f>
        <v>13.20035670439764</v>
      </c>
    </row>
    <row r="87" spans="1:5" x14ac:dyDescent="0.55000000000000004">
      <c r="A87">
        <v>12</v>
      </c>
      <c r="B87" s="23">
        <v>768.25379535773641</v>
      </c>
      <c r="C87" s="23">
        <v>0</v>
      </c>
      <c r="D87" s="23">
        <f t="shared" si="2"/>
        <v>768.25379535773641</v>
      </c>
      <c r="E87" s="23">
        <f>D87/(1+pernewytm)^(A87-perholdper)</f>
        <v>644.22793485577017</v>
      </c>
    </row>
    <row r="88" spans="1:5" ht="14.7" thickBot="1" x14ac:dyDescent="0.6"/>
    <row r="89" spans="1:5" ht="12.9" customHeight="1" x14ac:dyDescent="0.55000000000000004">
      <c r="D89" s="24" t="s">
        <v>40</v>
      </c>
      <c r="E89" s="25">
        <f>SUM(E75:E87)</f>
        <v>1112.0440018418913</v>
      </c>
    </row>
    <row r="90" spans="1:5" x14ac:dyDescent="0.55000000000000004">
      <c r="D90" s="26" t="s">
        <v>41</v>
      </c>
      <c r="E90" s="27">
        <f>bondprice</f>
        <v>812.29852479003227</v>
      </c>
    </row>
    <row r="91" spans="1:5" x14ac:dyDescent="0.55000000000000004">
      <c r="D91" s="26" t="s">
        <v>28</v>
      </c>
      <c r="E91" s="28">
        <f>(E89-E90)/E89</f>
        <v>0.26954461923753659</v>
      </c>
    </row>
    <row r="92" spans="1:5" ht="14.7" thickBot="1" x14ac:dyDescent="0.6">
      <c r="D92" s="29" t="s">
        <v>27</v>
      </c>
      <c r="E92" s="30">
        <f>(1+E91)^(1/annholdper)-1</f>
        <v>6.1480431426705895E-2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20</vt:i4>
      </vt:variant>
    </vt:vector>
  </HeadingPairs>
  <TitlesOfParts>
    <vt:vector size="21" baseType="lpstr">
      <vt:lpstr>Sheet1</vt:lpstr>
      <vt:lpstr>anncpr</vt:lpstr>
      <vt:lpstr>anndeltay</vt:lpstr>
      <vt:lpstr>anndur</vt:lpstr>
      <vt:lpstr>annholdper</vt:lpstr>
      <vt:lpstr>annnewytm</vt:lpstr>
      <vt:lpstr>annttm</vt:lpstr>
      <vt:lpstr>annytm</vt:lpstr>
      <vt:lpstr>bondprice</vt:lpstr>
      <vt:lpstr>freq</vt:lpstr>
      <vt:lpstr>hprcu</vt:lpstr>
      <vt:lpstr>hprval</vt:lpstr>
      <vt:lpstr>mminst</vt:lpstr>
      <vt:lpstr>parval</vt:lpstr>
      <vt:lpstr>percpr</vt:lpstr>
      <vt:lpstr>perdur</vt:lpstr>
      <vt:lpstr>perholdper</vt:lpstr>
      <vt:lpstr>pernewytm</vt:lpstr>
      <vt:lpstr>perttm</vt:lpstr>
      <vt:lpstr>perytm</vt:lpstr>
      <vt:lpstr>wbond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Sloane Holtby</dc:creator>
  <cp:lastModifiedBy>Sloane Holtby</cp:lastModifiedBy>
  <dcterms:created xsi:type="dcterms:W3CDTF">2026-07-25T21:54:57Z</dcterms:created>
  <dcterms:modified xsi:type="dcterms:W3CDTF">2026-07-26T15:44:01Z</dcterms:modified>
</cp:coreProperties>
</file>