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folder/Downloads/"/>
    </mc:Choice>
  </mc:AlternateContent>
  <xr:revisionPtr revIDLastSave="0" documentId="13_ncr:1_{2117DC9F-65B2-114F-B22D-6A6ACEF2F969}" xr6:coauthVersionLast="47" xr6:coauthVersionMax="47" xr10:uidLastSave="{00000000-0000-0000-0000-000000000000}"/>
  <bookViews>
    <workbookView xWindow="0" yWindow="680" windowWidth="34200" windowHeight="19740" xr2:uid="{00000000-000D-0000-FFFF-FFFF00000000}"/>
  </bookViews>
  <sheets>
    <sheet name="HW2+" sheetId="2" r:id="rId1"/>
  </sheets>
  <definedNames>
    <definedName name="anncprate">#REF!</definedName>
    <definedName name="anndely">'HW2+'!$B$37</definedName>
    <definedName name="annholdPer">'HW2+'!$B$36</definedName>
    <definedName name="annttm">'HW2+'!$B$10</definedName>
    <definedName name="annytm">'HW2+'!$B$9</definedName>
    <definedName name="bondprice">'HW2+'!$G$29</definedName>
    <definedName name="Cashflow">#REF!</definedName>
    <definedName name="CF">#REF!</definedName>
    <definedName name="coupon_rate">#REF!</definedName>
    <definedName name="Coupon_Value">#REF!</definedName>
    <definedName name="Cr">#REF!</definedName>
    <definedName name="durbond">'HW2+'!$H$30</definedName>
    <definedName name="freq">#REF!</definedName>
    <definedName name="oldytm">'HW2+'!$F$39</definedName>
    <definedName name="PAR">#REF!</definedName>
    <definedName name="PAR_Value">#REF!</definedName>
    <definedName name="PArval">'HW2+'!$C$11</definedName>
    <definedName name="Percprate">'HW2+'!$C$8</definedName>
    <definedName name="Perholdper">'HW2+'!$C$36</definedName>
    <definedName name="Periods">#REF!</definedName>
    <definedName name="Pernewytm">'HW2+'!$G$40</definedName>
    <definedName name="Perttm">'HW2+'!$C$10</definedName>
    <definedName name="Perytm">'HW2+'!$C$9</definedName>
    <definedName name="r_">#REF!</definedName>
    <definedName name="semiannual_periods">#REF!</definedName>
    <definedName name="T">#REF!</definedName>
    <definedName name="term">#REF!</definedName>
    <definedName name="wbond">'HW2+'!$C$62</definedName>
    <definedName name="yield">#REF!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C37" i="2"/>
  <c r="C36" i="2"/>
  <c r="G32" i="2"/>
  <c r="G31" i="2"/>
  <c r="C11" i="2"/>
  <c r="C10" i="2"/>
  <c r="C9" i="2"/>
  <c r="C8" i="2"/>
  <c r="L7" i="2"/>
  <c r="M6" i="2" l="1"/>
  <c r="G30" i="2"/>
  <c r="L8" i="2"/>
  <c r="M7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F40" i="2"/>
  <c r="G40" i="2" s="1"/>
  <c r="G39" i="2"/>
  <c r="D17" i="2" l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D30" i="2"/>
  <c r="C30" i="2"/>
  <c r="B30" i="2"/>
  <c r="D31" i="2"/>
  <c r="C31" i="2"/>
  <c r="B31" i="2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C53" i="2"/>
  <c r="B53" i="2"/>
  <c r="C54" i="2"/>
  <c r="B54" i="2"/>
  <c r="C55" i="2"/>
  <c r="B55" i="2"/>
  <c r="C56" i="2"/>
  <c r="B56" i="2"/>
  <c r="B69" i="2"/>
  <c r="C70" i="2"/>
  <c r="C71" i="2"/>
  <c r="C72" i="2"/>
  <c r="C73" i="2"/>
  <c r="C74" i="2"/>
  <c r="C75" i="2"/>
  <c r="C76" i="2"/>
  <c r="C77" i="2"/>
  <c r="C78" i="2"/>
  <c r="C79" i="2"/>
  <c r="C80" i="2"/>
  <c r="C81" i="2"/>
  <c r="E82" i="2"/>
  <c r="D82" i="2"/>
  <c r="C82" i="2"/>
  <c r="B82" i="2"/>
  <c r="E83" i="2"/>
  <c r="D83" i="2"/>
  <c r="C83" i="2"/>
  <c r="B83" i="2"/>
  <c r="E84" i="2"/>
  <c r="D84" i="2"/>
  <c r="C84" i="2"/>
  <c r="B84" i="2"/>
  <c r="E85" i="2"/>
  <c r="D85" i="2"/>
  <c r="C85" i="2"/>
  <c r="B85" i="2"/>
  <c r="L9" i="2"/>
  <c r="M8" i="2"/>
  <c r="L10" i="2" l="1"/>
  <c r="M9" i="2"/>
  <c r="F52" i="2"/>
  <c r="G29" i="2"/>
  <c r="G82" i="2" l="1"/>
  <c r="F53" i="2"/>
  <c r="D29" i="2"/>
  <c r="D28" i="2"/>
  <c r="D27" i="2"/>
  <c r="D26" i="2"/>
  <c r="D25" i="2"/>
  <c r="D24" i="2"/>
  <c r="D23" i="2"/>
  <c r="D22" i="2"/>
  <c r="D21" i="2"/>
  <c r="D20" i="2"/>
  <c r="D19" i="2"/>
  <c r="D18" i="2"/>
  <c r="F55" i="2"/>
  <c r="F56" i="2" s="1"/>
  <c r="L11" i="2"/>
  <c r="M10" i="2"/>
  <c r="H29" i="2" l="1"/>
  <c r="H30" i="2" s="1"/>
  <c r="L12" i="2"/>
  <c r="M12" i="2" s="1"/>
  <c r="M11" i="2"/>
  <c r="C62" i="2"/>
  <c r="B62" i="2"/>
  <c r="E65" i="2" s="1"/>
  <c r="H32" i="2"/>
  <c r="C63" i="2" l="1"/>
  <c r="C64" i="2" s="1"/>
  <c r="C69" i="2"/>
  <c r="D69" i="2" s="1"/>
  <c r="E69" i="2" s="1"/>
  <c r="B70" i="2"/>
  <c r="D70" i="2" s="1"/>
  <c r="E70" i="2" s="1"/>
  <c r="B71" i="2"/>
  <c r="D71" i="2" s="1"/>
  <c r="E71" i="2" s="1"/>
  <c r="B72" i="2"/>
  <c r="D72" i="2" s="1"/>
  <c r="E72" i="2" s="1"/>
  <c r="B73" i="2"/>
  <c r="D73" i="2" s="1"/>
  <c r="E73" i="2" s="1"/>
  <c r="B74" i="2"/>
  <c r="D74" i="2" s="1"/>
  <c r="E74" i="2" s="1"/>
  <c r="B75" i="2"/>
  <c r="D75" i="2" s="1"/>
  <c r="E75" i="2" s="1"/>
  <c r="B76" i="2"/>
  <c r="D76" i="2" s="1"/>
  <c r="E76" i="2" s="1"/>
  <c r="B77" i="2"/>
  <c r="D77" i="2" s="1"/>
  <c r="E77" i="2" s="1"/>
  <c r="B78" i="2"/>
  <c r="D78" i="2" s="1"/>
  <c r="E78" i="2" s="1"/>
  <c r="B79" i="2"/>
  <c r="D79" i="2" s="1"/>
  <c r="E79" i="2" s="1"/>
  <c r="B80" i="2"/>
  <c r="D80" i="2" s="1"/>
  <c r="E80" i="2" s="1"/>
  <c r="B81" i="2"/>
  <c r="D81" i="2" s="1"/>
  <c r="E81" i="2" s="1"/>
  <c r="L13" i="2"/>
  <c r="L14" i="2" l="1"/>
  <c r="M13" i="2"/>
  <c r="G81" i="2"/>
  <c r="G84" i="2" s="1"/>
  <c r="G85" i="2" s="1"/>
  <c r="L15" i="2" l="1"/>
  <c r="M14" i="2"/>
  <c r="L16" i="2" l="1"/>
  <c r="M15" i="2"/>
  <c r="L17" i="2" l="1"/>
  <c r="M16" i="2"/>
  <c r="L18" i="2" l="1"/>
  <c r="M18" i="2" s="1"/>
  <c r="M17" i="2"/>
  <c r="B64" i="2"/>
</calcChain>
</file>

<file path=xl/sharedStrings.xml><?xml version="1.0" encoding="utf-8"?>
<sst xmlns="http://schemas.openxmlformats.org/spreadsheetml/2006/main" count="60" uniqueCount="52">
  <si>
    <t>Annual</t>
  </si>
  <si>
    <t>Periodic</t>
  </si>
  <si>
    <t>CF</t>
  </si>
  <si>
    <t>Time Period</t>
  </si>
  <si>
    <t>Bond Pricing and Duration/Immunization</t>
  </si>
  <si>
    <t>Druvakumar Valugubelly</t>
  </si>
  <si>
    <t>Reference Bond: 6 year 4% XYZ Corp. (rated AAA) bond yielding 8%</t>
  </si>
  <si>
    <t>r - Annual YTM</t>
  </si>
  <si>
    <t>P - Bond Price</t>
  </si>
  <si>
    <t>Bond Terms</t>
  </si>
  <si>
    <t>Coupon Rate</t>
  </si>
  <si>
    <t>YTM</t>
  </si>
  <si>
    <t>Time to Maturity</t>
  </si>
  <si>
    <t>Par Value</t>
  </si>
  <si>
    <t>Compounding</t>
  </si>
  <si>
    <t>BOND VALUATION/PRICING AND DURATION CALCULATION</t>
  </si>
  <si>
    <t>PVCF</t>
  </si>
  <si>
    <t>t*PVCF/Price</t>
  </si>
  <si>
    <t>Bond Value</t>
  </si>
  <si>
    <t>Duration(period)</t>
  </si>
  <si>
    <t>via PV fn</t>
  </si>
  <si>
    <t>Duration(annually)</t>
  </si>
  <si>
    <t>via Price fn</t>
  </si>
  <si>
    <t>via DURATION fn</t>
  </si>
  <si>
    <t>Difference</t>
  </si>
  <si>
    <t>ASSUME SELL BOND AT HOLDING PERIOD</t>
  </si>
  <si>
    <t>Period</t>
  </si>
  <si>
    <t>Assumed Holding Period</t>
  </si>
  <si>
    <t>Assumed Change in Yield</t>
  </si>
  <si>
    <t>PVCF as of HP</t>
  </si>
  <si>
    <t>Old YTM</t>
  </si>
  <si>
    <t>New YTM</t>
  </si>
  <si>
    <t>Value at HP</t>
  </si>
  <si>
    <t>Original Value</t>
  </si>
  <si>
    <t>HPR(cumulative)</t>
  </si>
  <si>
    <t>HPR(annualized)</t>
  </si>
  <si>
    <t>&lt;-- less than the original YTM if duration exceeds holding period</t>
  </si>
  <si>
    <t>OKAY&lt; SO LET"S BUILD A HEDGE PORTFOLIO</t>
  </si>
  <si>
    <t>Duration</t>
  </si>
  <si>
    <t>Weight</t>
  </si>
  <si>
    <t>Original Bond</t>
  </si>
  <si>
    <t>wbond*durbond+(1-wbond)*0 = 4</t>
  </si>
  <si>
    <t>Money Market Instrument</t>
  </si>
  <si>
    <t>wbond*durbond = 4</t>
  </si>
  <si>
    <t>Portfolio</t>
  </si>
  <si>
    <t>wbond = 4/durbond</t>
  </si>
  <si>
    <t>Bond CF</t>
  </si>
  <si>
    <t>Money Mkt. CF</t>
  </si>
  <si>
    <t>Portfolio CF</t>
  </si>
  <si>
    <t>PVCF @ Holding Period</t>
  </si>
  <si>
    <t>Value of Port at HP</t>
  </si>
  <si>
    <t>Original Bond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</si>
</sst>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"/>
    <numFmt numFmtId="166" formatCode="0.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4">
    <xf numFmtId="0" fontId="0" fillId="0" borderId="0" xfId="0"/>
    <xf numFmtId="0" fontId="0" fillId="3" borderId="0" xfId="0" applyFill="1"/>
    <xf numFmtId="0" fontId="2" fillId="0" borderId="0" xfId="0" applyFont="1"/>
    <xf numFmtId="10" fontId="0" fillId="0" borderId="0" xfId="1" applyNumberFormat="1" applyFont="1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0" fontId="0" fillId="0" borderId="0" xfId="0" applyNumberFormat="1"/>
    <xf numFmtId="164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/>
    <xf numFmtId="10" fontId="1" fillId="0" borderId="0" xfId="0" applyNumberFormat="1" applyFont="1"/>
    <xf numFmtId="164" fontId="1" fillId="0" borderId="0" xfId="1" applyNumberFormat="1"/>
    <xf numFmtId="10" fontId="1" fillId="0" borderId="0" xfId="1" applyNumberFormat="1"/>
    <xf numFmtId="165" fontId="0" fillId="0" borderId="0" xfId="0" applyNumberFormat="1"/>
    <xf numFmtId="0" fontId="1" fillId="2" borderId="0" xfId="0" applyFont="1" applyFill="1"/>
    <xf numFmtId="9" fontId="1" fillId="3" borderId="0" xfId="0" applyNumberFormat="1" applyFont="1" applyFill="1"/>
    <xf numFmtId="164" fontId="1" fillId="3" borderId="0" xfId="0" applyNumberFormat="1" applyFont="1" applyFill="1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'HW2+'!$M$5</c:f>
              <c:strCache>
                <c:ptCount val="1"/>
                <c:pt idx="0">
                  <c:v>P - Bond Price</c:v>
                </c:pt>
              </c:strCache>
            </c:strRef>
          </c:tx>
          <c:spPr>
            <a:ln w="254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spPr>
              <a:ln w="25400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4EF-9543-9C94-7BD67DA9667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E2-4577-BF2A-DE2FB4BCEC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64-4134-8B0A-45746E2067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61-4C1D-B1F2-FC9F1C109B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61-4C1D-B1F2-FC9F1C109B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9A-4CFF-8006-D8E81246662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9A-4CFF-8006-D8E81246662E}"/>
                </c:ext>
              </c:extLst>
            </c:dLbl>
            <c:dLbl>
              <c:idx val="6"/>
              <c:layout>
                <c:manualLayout>
                  <c:x val="-2.920754959106386E-2"/>
                  <c:y val="-5.988675211026216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EF-9543-9C94-7BD67DA9667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9A-4CFF-8006-D8E81246662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61-4C1D-B1F2-FC9F1C109B3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61-4C1D-B1F2-FC9F1C109B3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61-4C1D-B1F2-FC9F1C109B3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7-482C-8579-237C31938BB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B7-482C-8579-237C31938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'HW2+'!$L$6:$L$18</c:f>
              <c:numCache>
                <c:formatCode>0%</c:formatCode>
                <c:ptCount val="13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6.0000000000000005E-2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9.9999999999999992E-2</c:v>
                </c:pt>
                <c:pt idx="9">
                  <c:v>0.10999999999999999</c:v>
                </c:pt>
                <c:pt idx="10">
                  <c:v>0.11999999999999998</c:v>
                </c:pt>
                <c:pt idx="11">
                  <c:v>0.12999999999999998</c:v>
                </c:pt>
                <c:pt idx="12">
                  <c:v>0.13999999999999999</c:v>
                </c:pt>
              </c:numCache>
            </c:numRef>
          </c:xVal>
          <c:yVal>
            <c:numRef>
              <c:f>'HW2+'!$M$6:$M$18</c:f>
              <c:numCache>
                <c:formatCode>\$#,##0.00</c:formatCode>
                <c:ptCount val="13"/>
                <c:pt idx="0">
                  <c:v>1112.5507747348463</c:v>
                </c:pt>
                <c:pt idx="1">
                  <c:v>1054.5375260348678</c:v>
                </c:pt>
                <c:pt idx="2">
                  <c:v>1000</c:v>
                </c:pt>
                <c:pt idx="3">
                  <c:v>948.71117700906177</c:v>
                </c:pt>
                <c:pt idx="4">
                  <c:v>900.45996006432438</c:v>
                </c:pt>
                <c:pt idx="5">
                  <c:v>855.04998498105522</c:v>
                </c:pt>
                <c:pt idx="6">
                  <c:v>812.29852479003262</c:v>
                </c:pt>
                <c:pt idx="7">
                  <c:v>772.03548048098389</c:v>
                </c:pt>
                <c:pt idx="8">
                  <c:v>734.10245090653564</c:v>
                </c:pt>
                <c:pt idx="9">
                  <c:v>698.35187529425332</c:v>
                </c:pt>
                <c:pt idx="10">
                  <c:v>664.64624238466695</c:v>
                </c:pt>
                <c:pt idx="11">
                  <c:v>632.85736073155761</c:v>
                </c:pt>
                <c:pt idx="12">
                  <c:v>602.86568517195371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5-4049-BCED-4DAE084F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413832"/>
        <c:axId val="608174600"/>
      </c:scatterChart>
      <c:valAx>
        <c:axId val="60641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 - Annual YTM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74600"/>
        <c:crosses val="autoZero"/>
        <c:crossBetween val="midCat"/>
      </c:valAx>
      <c:valAx>
        <c:axId val="60817460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- Bond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1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180975</xdr:rowOff>
    </xdr:from>
    <xdr:to>
      <xdr:col>20</xdr:col>
      <xdr:colOff>619125</xdr:colOff>
      <xdr:row>17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EEA7AB-D451-EFAA-98A1-2A6881CC7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tabSelected="1" topLeftCell="I1" zoomScale="88" zoomScaleNormal="88" workbookViewId="0">
      <selection activeCell="W11" sqref="W11"/>
    </sheetView>
  </sheetViews>
  <sheetFormatPr baseColWidth="10" defaultColWidth="11" defaultRowHeight="16" x14ac:dyDescent="0.2"/>
  <cols>
    <col min="1" max="1" width="23.1640625" customWidth="1"/>
    <col min="2" max="2" width="15.1640625" customWidth="1"/>
    <col min="3" max="3" width="19.83203125" customWidth="1"/>
    <col min="4" max="4" width="16.83203125" customWidth="1"/>
    <col min="5" max="5" width="21" customWidth="1"/>
    <col min="12" max="12" width="12.1640625" bestFit="1" customWidth="1"/>
    <col min="13" max="13" width="12" bestFit="1" customWidth="1"/>
  </cols>
  <sheetData>
    <row r="1" spans="1:13" x14ac:dyDescent="0.2">
      <c r="A1" s="2" t="s">
        <v>4</v>
      </c>
    </row>
    <row r="2" spans="1:13" x14ac:dyDescent="0.2">
      <c r="A2" s="2" t="s">
        <v>5</v>
      </c>
    </row>
    <row r="3" spans="1:13" x14ac:dyDescent="0.2">
      <c r="A3" s="2"/>
    </row>
    <row r="5" spans="1:13" x14ac:dyDescent="0.2">
      <c r="A5" s="2" t="s">
        <v>6</v>
      </c>
      <c r="L5" s="17" t="s">
        <v>7</v>
      </c>
      <c r="M5" s="17" t="s">
        <v>8</v>
      </c>
    </row>
    <row r="6" spans="1:13" x14ac:dyDescent="0.2">
      <c r="L6" s="5">
        <v>0.02</v>
      </c>
      <c r="M6" s="6">
        <f t="shared" ref="M6:M18" si="0">-PV(L6/$B$12,Perttm,Percprate*PArval,PArval)</f>
        <v>1112.5507747348463</v>
      </c>
    </row>
    <row r="7" spans="1:13" x14ac:dyDescent="0.2">
      <c r="A7" s="2" t="s">
        <v>9</v>
      </c>
      <c r="B7" t="s">
        <v>0</v>
      </c>
      <c r="C7" t="s">
        <v>1</v>
      </c>
      <c r="L7" s="5">
        <f t="shared" ref="L7:L18" si="1">L6+1%</f>
        <v>0.03</v>
      </c>
      <c r="M7" s="6">
        <f t="shared" si="0"/>
        <v>1054.5375260348678</v>
      </c>
    </row>
    <row r="8" spans="1:13" x14ac:dyDescent="0.2">
      <c r="A8" t="s">
        <v>10</v>
      </c>
      <c r="B8" s="7">
        <v>0.04</v>
      </c>
      <c r="C8" s="7">
        <f>B8/B12</f>
        <v>0.02</v>
      </c>
      <c r="L8" s="5">
        <f t="shared" si="1"/>
        <v>0.04</v>
      </c>
      <c r="M8" s="6">
        <f t="shared" si="0"/>
        <v>1000</v>
      </c>
    </row>
    <row r="9" spans="1:13" x14ac:dyDescent="0.2">
      <c r="A9" s="2" t="s">
        <v>11</v>
      </c>
      <c r="B9" s="7">
        <v>0.08</v>
      </c>
      <c r="C9" s="7">
        <f>B9/B12</f>
        <v>0.04</v>
      </c>
      <c r="L9" s="5">
        <f t="shared" si="1"/>
        <v>0.05</v>
      </c>
      <c r="M9" s="6">
        <f t="shared" si="0"/>
        <v>948.71117700906177</v>
      </c>
    </row>
    <row r="10" spans="1:13" x14ac:dyDescent="0.2">
      <c r="A10" t="s">
        <v>12</v>
      </c>
      <c r="B10">
        <v>6</v>
      </c>
      <c r="C10">
        <f>B10*B12</f>
        <v>12</v>
      </c>
      <c r="L10" s="5">
        <f t="shared" si="1"/>
        <v>6.0000000000000005E-2</v>
      </c>
      <c r="M10" s="6">
        <f t="shared" si="0"/>
        <v>900.45996006432438</v>
      </c>
    </row>
    <row r="11" spans="1:13" x14ac:dyDescent="0.2">
      <c r="A11" s="2" t="s">
        <v>13</v>
      </c>
      <c r="B11" s="8">
        <v>1000</v>
      </c>
      <c r="C11" s="8">
        <f>B11</f>
        <v>1000</v>
      </c>
      <c r="L11" s="5">
        <f t="shared" si="1"/>
        <v>7.0000000000000007E-2</v>
      </c>
      <c r="M11" s="6">
        <f t="shared" si="0"/>
        <v>855.04998498105522</v>
      </c>
    </row>
    <row r="12" spans="1:13" x14ac:dyDescent="0.2">
      <c r="A12" t="s">
        <v>14</v>
      </c>
      <c r="B12">
        <v>2</v>
      </c>
      <c r="L12" s="18">
        <f t="shared" si="1"/>
        <v>0.08</v>
      </c>
      <c r="M12" s="19">
        <f t="shared" si="0"/>
        <v>812.29852479003262</v>
      </c>
    </row>
    <row r="13" spans="1:13" x14ac:dyDescent="0.2">
      <c r="L13" s="5">
        <f t="shared" si="1"/>
        <v>0.09</v>
      </c>
      <c r="M13" s="6">
        <f t="shared" si="0"/>
        <v>772.03548048098389</v>
      </c>
    </row>
    <row r="14" spans="1:13" x14ac:dyDescent="0.2">
      <c r="A14" s="21" t="s">
        <v>15</v>
      </c>
      <c r="B14" s="22"/>
      <c r="C14" s="22"/>
      <c r="D14" s="22"/>
      <c r="E14" s="22"/>
      <c r="L14" s="5">
        <f t="shared" si="1"/>
        <v>9.9999999999999992E-2</v>
      </c>
      <c r="M14" s="6">
        <f t="shared" si="0"/>
        <v>734.10245090653564</v>
      </c>
    </row>
    <row r="15" spans="1:13" x14ac:dyDescent="0.2">
      <c r="L15" s="5">
        <f t="shared" si="1"/>
        <v>0.10999999999999999</v>
      </c>
      <c r="M15" s="6">
        <f t="shared" si="0"/>
        <v>698.35187529425332</v>
      </c>
    </row>
    <row r="16" spans="1:13" x14ac:dyDescent="0.2">
      <c r="A16" s="2" t="s">
        <v>3</v>
      </c>
      <c r="B16" s="2" t="s">
        <v>2</v>
      </c>
      <c r="C16" s="2" t="s">
        <v>16</v>
      </c>
      <c r="D16" s="2" t="s">
        <v>17</v>
      </c>
      <c r="L16" s="5">
        <f t="shared" si="1"/>
        <v>0.11999999999999998</v>
      </c>
      <c r="M16" s="6">
        <f t="shared" si="0"/>
        <v>664.64624238466695</v>
      </c>
    </row>
    <row r="17" spans="1:13" x14ac:dyDescent="0.2">
      <c r="A17">
        <f>IF(0&lt;=Perttm,0,"")</f>
        <v>0</v>
      </c>
      <c r="B17" s="8">
        <f t="shared" ref="B17:B31" si="2">IF(A17="","",IF(A17=0,0,IF(A17&lt;Perttm,Percprate*PArval,Percprate*PArval+PArval)))</f>
        <v>0</v>
      </c>
      <c r="C17" s="8">
        <f t="shared" ref="C17:C31" si="3">IF(A17="","",B17/((1+Perytm)^A17))</f>
        <v>0</v>
      </c>
      <c r="D17" s="9">
        <f t="shared" ref="D17:D31" si="4">IF(A17="","",IF(A17=0,0,A17*C17/bondprice))</f>
        <v>0</v>
      </c>
      <c r="L17" s="5">
        <f t="shared" si="1"/>
        <v>0.12999999999999998</v>
      </c>
      <c r="M17" s="6">
        <f t="shared" si="0"/>
        <v>632.85736073155761</v>
      </c>
    </row>
    <row r="18" spans="1:13" x14ac:dyDescent="0.2">
      <c r="A18">
        <f>IF(1&lt;=Perttm,1,"")</f>
        <v>1</v>
      </c>
      <c r="B18" s="8">
        <f t="shared" si="2"/>
        <v>20</v>
      </c>
      <c r="C18" s="8">
        <f t="shared" si="3"/>
        <v>19.23076923076923</v>
      </c>
      <c r="D18" s="9">
        <f t="shared" si="4"/>
        <v>2.3674509609309106E-2</v>
      </c>
      <c r="L18" s="5">
        <f t="shared" si="1"/>
        <v>0.13999999999999999</v>
      </c>
      <c r="M18" s="6">
        <f t="shared" si="0"/>
        <v>602.86568517195371</v>
      </c>
    </row>
    <row r="19" spans="1:13" x14ac:dyDescent="0.2">
      <c r="A19">
        <f>IF(2&lt;=Perttm,2,"")</f>
        <v>2</v>
      </c>
      <c r="B19" s="8">
        <f t="shared" si="2"/>
        <v>20</v>
      </c>
      <c r="C19" s="8">
        <f t="shared" si="3"/>
        <v>18.491124260355029</v>
      </c>
      <c r="D19" s="9">
        <f t="shared" si="4"/>
        <v>4.5527903094825205E-2</v>
      </c>
    </row>
    <row r="20" spans="1:13" x14ac:dyDescent="0.2">
      <c r="A20">
        <f>IF(3&lt;=Perttm,3,"")</f>
        <v>3</v>
      </c>
      <c r="B20" s="8">
        <f t="shared" si="2"/>
        <v>20</v>
      </c>
      <c r="C20" s="8">
        <f t="shared" si="3"/>
        <v>17.779927173418297</v>
      </c>
      <c r="D20" s="9">
        <f t="shared" si="4"/>
        <v>6.5665244848305576E-2</v>
      </c>
    </row>
    <row r="21" spans="1:13" x14ac:dyDescent="0.2">
      <c r="A21">
        <f>IF(4&lt;=Perttm,4,"")</f>
        <v>4</v>
      </c>
      <c r="B21" s="8">
        <f t="shared" si="2"/>
        <v>20</v>
      </c>
      <c r="C21" s="8">
        <f t="shared" si="3"/>
        <v>17.096083820594515</v>
      </c>
      <c r="D21" s="9">
        <f t="shared" si="4"/>
        <v>8.4186211343981507E-2</v>
      </c>
    </row>
    <row r="22" spans="1:13" x14ac:dyDescent="0.2">
      <c r="A22">
        <f>IF(5&lt;=Perttm,5,"")</f>
        <v>5</v>
      </c>
      <c r="B22" s="8">
        <f t="shared" si="2"/>
        <v>20</v>
      </c>
      <c r="C22" s="8">
        <f t="shared" si="3"/>
        <v>16.438542135187031</v>
      </c>
      <c r="D22" s="9">
        <f t="shared" si="4"/>
        <v>0.10118535017305469</v>
      </c>
    </row>
    <row r="23" spans="1:13" x14ac:dyDescent="0.2">
      <c r="A23">
        <f>IF(6&lt;=Perttm,6,"")</f>
        <v>6</v>
      </c>
      <c r="B23" s="8">
        <f t="shared" si="2"/>
        <v>20</v>
      </c>
      <c r="C23" s="8">
        <f t="shared" si="3"/>
        <v>15.806290514602914</v>
      </c>
      <c r="D23" s="9">
        <f t="shared" si="4"/>
        <v>0.11675232712275539</v>
      </c>
    </row>
    <row r="24" spans="1:13" x14ac:dyDescent="0.2">
      <c r="A24">
        <f>IF(7&lt;=Perttm,7,"")</f>
        <v>7</v>
      </c>
      <c r="B24" s="8">
        <f t="shared" si="2"/>
        <v>20</v>
      </c>
      <c r="C24" s="8">
        <f t="shared" si="3"/>
        <v>15.198356264041266</v>
      </c>
      <c r="D24" s="9">
        <f t="shared" si="4"/>
        <v>0.13097216183642435</v>
      </c>
    </row>
    <row r="25" spans="1:13" x14ac:dyDescent="0.2">
      <c r="A25">
        <f>IF(8&lt;=Perttm,8,"")</f>
        <v>8</v>
      </c>
      <c r="B25" s="8">
        <f t="shared" si="2"/>
        <v>20</v>
      </c>
      <c r="C25" s="8">
        <f t="shared" si="3"/>
        <v>14.613804100039676</v>
      </c>
      <c r="D25" s="9">
        <f t="shared" si="4"/>
        <v>0.14392545256749925</v>
      </c>
    </row>
    <row r="26" spans="1:13" x14ac:dyDescent="0.2">
      <c r="A26">
        <f>IF(9&lt;=Perttm,9,"")</f>
        <v>9</v>
      </c>
      <c r="B26" s="8">
        <f t="shared" si="2"/>
        <v>20</v>
      </c>
      <c r="C26" s="8">
        <f t="shared" si="3"/>
        <v>14.051734711576611</v>
      </c>
      <c r="D26" s="9">
        <f t="shared" si="4"/>
        <v>0.15568859051772754</v>
      </c>
    </row>
    <row r="27" spans="1:13" x14ac:dyDescent="0.2">
      <c r="A27">
        <f>IF(10&lt;=Perttm,10,"")</f>
        <v>10</v>
      </c>
      <c r="B27" s="8">
        <f t="shared" si="2"/>
        <v>20</v>
      </c>
      <c r="C27" s="8">
        <f t="shared" si="3"/>
        <v>13.511283376515971</v>
      </c>
      <c r="D27" s="9">
        <f t="shared" si="4"/>
        <v>0.16633396422834137</v>
      </c>
    </row>
    <row r="28" spans="1:13" x14ac:dyDescent="0.2">
      <c r="A28" s="4">
        <f>IF(11&lt;=Perttm,11,"")</f>
        <v>11</v>
      </c>
      <c r="B28" s="6">
        <f t="shared" si="2"/>
        <v>20</v>
      </c>
      <c r="C28" s="6">
        <f t="shared" si="3"/>
        <v>12.991618631265357</v>
      </c>
      <c r="D28" s="10">
        <f t="shared" si="4"/>
        <v>0.17593015447228416</v>
      </c>
    </row>
    <row r="29" spans="1:13" x14ac:dyDescent="0.2">
      <c r="A29" s="4">
        <f>IF(12&lt;=Perttm,12,"")</f>
        <v>12</v>
      </c>
      <c r="B29" s="6">
        <f t="shared" si="2"/>
        <v>1020</v>
      </c>
      <c r="C29" s="6">
        <f t="shared" si="3"/>
        <v>637.08899057166639</v>
      </c>
      <c r="D29" s="10">
        <f t="shared" si="4"/>
        <v>9.4116481238669483</v>
      </c>
      <c r="F29" s="4" t="s">
        <v>18</v>
      </c>
      <c r="G29" s="6">
        <f>SUM(C17:C31)</f>
        <v>812.29852479003227</v>
      </c>
      <c r="H29" s="11">
        <f>SUM(D17:D31)</f>
        <v>10.621489993681458</v>
      </c>
      <c r="I29" s="4" t="s">
        <v>19</v>
      </c>
    </row>
    <row r="30" spans="1:13" x14ac:dyDescent="0.2">
      <c r="A30" s="4" t="str">
        <f>IF(13&lt;=Perttm,13,"")</f>
        <v/>
      </c>
      <c r="B30" s="6" t="str">
        <f t="shared" si="2"/>
        <v/>
      </c>
      <c r="C30" s="6" t="str">
        <f t="shared" si="3"/>
        <v/>
      </c>
      <c r="D30" s="10" t="str">
        <f t="shared" si="4"/>
        <v/>
      </c>
      <c r="F30" s="4" t="s">
        <v>20</v>
      </c>
      <c r="G30" s="6">
        <f>-PV(Perytm,Perttm,Percprate*PArval,PArval)</f>
        <v>812.29852479003262</v>
      </c>
      <c r="H30" s="11">
        <f>H29/B12</f>
        <v>5.3107449968407288</v>
      </c>
      <c r="I30" s="4" t="s">
        <v>21</v>
      </c>
      <c r="J30" s="4"/>
    </row>
    <row r="31" spans="1:13" x14ac:dyDescent="0.2">
      <c r="A31" s="4" t="str">
        <f>IF(14&lt;=Perttm,14,"")</f>
        <v/>
      </c>
      <c r="B31" s="6" t="str">
        <f t="shared" si="2"/>
        <v/>
      </c>
      <c r="C31" s="6" t="str">
        <f t="shared" si="3"/>
        <v/>
      </c>
      <c r="D31" s="10" t="str">
        <f t="shared" si="4"/>
        <v/>
      </c>
      <c r="F31" s="4" t="s">
        <v>22</v>
      </c>
      <c r="G31" s="6">
        <f>PRICE(DATE(2026,7,23),DATE(2032,7,23),B8,annytm,100,B12)*10</f>
        <v>812.29852479003227</v>
      </c>
      <c r="H31" s="4"/>
      <c r="I31" s="4"/>
      <c r="J31" s="4"/>
    </row>
    <row r="32" spans="1:13" x14ac:dyDescent="0.2">
      <c r="F32" s="4" t="s">
        <v>23</v>
      </c>
      <c r="G32" s="11">
        <f>DURATION(DATE(2026,7,23),DATE(2032,7,23),B8,annytm,B12,0)</f>
        <v>5.3107449968407279</v>
      </c>
      <c r="H32" s="11">
        <f>H30-G32</f>
        <v>0</v>
      </c>
      <c r="I32" s="4" t="s">
        <v>24</v>
      </c>
    </row>
    <row r="34" spans="1:7" x14ac:dyDescent="0.2">
      <c r="A34" s="21" t="s">
        <v>25</v>
      </c>
      <c r="B34" s="22"/>
      <c r="C34" s="22"/>
      <c r="D34" s="22"/>
      <c r="E34" s="22"/>
    </row>
    <row r="35" spans="1:7" x14ac:dyDescent="0.2">
      <c r="B35" t="s">
        <v>0</v>
      </c>
      <c r="C35" t="s">
        <v>26</v>
      </c>
    </row>
    <row r="36" spans="1:7" x14ac:dyDescent="0.2">
      <c r="A36" s="2" t="s">
        <v>27</v>
      </c>
      <c r="B36">
        <v>4</v>
      </c>
      <c r="C36">
        <f>B36*B12</f>
        <v>8</v>
      </c>
    </row>
    <row r="37" spans="1:7" x14ac:dyDescent="0.2">
      <c r="A37" t="s">
        <v>28</v>
      </c>
      <c r="B37" s="7">
        <v>0.01</v>
      </c>
      <c r="C37" s="3">
        <f>B37/B12</f>
        <v>5.0000000000000001E-3</v>
      </c>
    </row>
    <row r="38" spans="1:7" x14ac:dyDescent="0.2">
      <c r="F38" t="s">
        <v>0</v>
      </c>
      <c r="G38" t="s">
        <v>1</v>
      </c>
    </row>
    <row r="39" spans="1:7" x14ac:dyDescent="0.2">
      <c r="A39" t="s">
        <v>3</v>
      </c>
      <c r="B39" t="s">
        <v>2</v>
      </c>
      <c r="C39" t="s">
        <v>29</v>
      </c>
      <c r="E39" t="s">
        <v>30</v>
      </c>
      <c r="F39" s="7">
        <f>annytm</f>
        <v>0.08</v>
      </c>
      <c r="G39" s="7">
        <f>F39/B12</f>
        <v>0.04</v>
      </c>
    </row>
    <row r="40" spans="1:7" x14ac:dyDescent="0.2">
      <c r="A40">
        <f>IF(0&lt;=Perttm,0,"")</f>
        <v>0</v>
      </c>
      <c r="B40" s="8">
        <f t="shared" ref="B40:B56" si="5">IF(A40="","",IF(A40=0,0,IF(A40&lt;Perttm,Percprate*PArval,Percprate*PArval+PArval)))</f>
        <v>0</v>
      </c>
      <c r="C40" s="8">
        <f t="shared" ref="C40:C56" si="6">IF(A40="","",B40/(1+Pernewytm)^(A40-Perholdper))</f>
        <v>0</v>
      </c>
      <c r="E40" t="s">
        <v>31</v>
      </c>
      <c r="F40" s="7">
        <f>oldytm+anndely</f>
        <v>0.09</v>
      </c>
      <c r="G40" s="7">
        <f>F40/B12</f>
        <v>4.4999999999999998E-2</v>
      </c>
    </row>
    <row r="41" spans="1:7" x14ac:dyDescent="0.2">
      <c r="A41">
        <f>IF(1&lt;=Perttm,1,"")</f>
        <v>1</v>
      </c>
      <c r="B41" s="8">
        <f t="shared" si="5"/>
        <v>20</v>
      </c>
      <c r="C41" s="8">
        <f t="shared" si="6"/>
        <v>27.217236609313062</v>
      </c>
    </row>
    <row r="42" spans="1:7" x14ac:dyDescent="0.2">
      <c r="A42">
        <f>IF(2&lt;=Perttm,2,"")</f>
        <v>2</v>
      </c>
      <c r="B42" s="8">
        <f t="shared" si="5"/>
        <v>20</v>
      </c>
      <c r="C42" s="8">
        <f t="shared" si="6"/>
        <v>26.045202496950296</v>
      </c>
    </row>
    <row r="43" spans="1:7" x14ac:dyDescent="0.2">
      <c r="A43">
        <f>IF(3&lt;=Perttm,3,"")</f>
        <v>3</v>
      </c>
      <c r="B43" s="8">
        <f t="shared" si="5"/>
        <v>20</v>
      </c>
      <c r="C43" s="8">
        <f t="shared" si="6"/>
        <v>24.923638753062491</v>
      </c>
    </row>
    <row r="44" spans="1:7" x14ac:dyDescent="0.2">
      <c r="A44">
        <f>IF(4&lt;=Perttm,4,"")</f>
        <v>4</v>
      </c>
      <c r="B44" s="8">
        <f t="shared" si="5"/>
        <v>20</v>
      </c>
      <c r="C44" s="8">
        <f t="shared" si="6"/>
        <v>23.850372012499989</v>
      </c>
    </row>
    <row r="45" spans="1:7" x14ac:dyDescent="0.2">
      <c r="A45">
        <f>IF(5&lt;=Perttm,5,"")</f>
        <v>5</v>
      </c>
      <c r="B45" s="8">
        <f t="shared" si="5"/>
        <v>20</v>
      </c>
      <c r="C45" s="8">
        <f t="shared" si="6"/>
        <v>22.823322499999996</v>
      </c>
    </row>
    <row r="46" spans="1:7" x14ac:dyDescent="0.2">
      <c r="A46">
        <f>IF(6&lt;=Perttm,6,"")</f>
        <v>6</v>
      </c>
      <c r="B46" s="8">
        <f t="shared" si="5"/>
        <v>20</v>
      </c>
      <c r="C46" s="8">
        <f t="shared" si="6"/>
        <v>21.840499999999999</v>
      </c>
    </row>
    <row r="47" spans="1:7" x14ac:dyDescent="0.2">
      <c r="A47">
        <f>IF(7&lt;=Perttm,7,"")</f>
        <v>7</v>
      </c>
      <c r="B47" s="8">
        <f t="shared" si="5"/>
        <v>20</v>
      </c>
      <c r="C47" s="8">
        <f t="shared" si="6"/>
        <v>20.9</v>
      </c>
    </row>
    <row r="48" spans="1:7" x14ac:dyDescent="0.2">
      <c r="A48" s="1">
        <f>IF(8&lt;=Perttm,8,"")</f>
        <v>8</v>
      </c>
      <c r="B48" s="8">
        <f t="shared" si="5"/>
        <v>20</v>
      </c>
      <c r="C48" s="8">
        <f t="shared" si="6"/>
        <v>20</v>
      </c>
    </row>
    <row r="49" spans="1:7" x14ac:dyDescent="0.2">
      <c r="A49">
        <f>IF(9&lt;=Perttm,9,"")</f>
        <v>9</v>
      </c>
      <c r="B49" s="8">
        <f t="shared" si="5"/>
        <v>20</v>
      </c>
      <c r="C49" s="8">
        <f t="shared" si="6"/>
        <v>19.138755980861244</v>
      </c>
    </row>
    <row r="50" spans="1:7" x14ac:dyDescent="0.2">
      <c r="A50">
        <f>IF(10&lt;=Perttm,10,"")</f>
        <v>10</v>
      </c>
      <c r="B50" s="8">
        <f t="shared" si="5"/>
        <v>20</v>
      </c>
      <c r="C50" s="8">
        <f t="shared" si="6"/>
        <v>18.314599024747604</v>
      </c>
    </row>
    <row r="51" spans="1:7" x14ac:dyDescent="0.2">
      <c r="A51" s="4">
        <f>IF(11&lt;=Perttm,11,"")</f>
        <v>11</v>
      </c>
      <c r="B51" s="6">
        <f t="shared" si="5"/>
        <v>20</v>
      </c>
      <c r="C51" s="6">
        <f t="shared" si="6"/>
        <v>17.525932081098187</v>
      </c>
    </row>
    <row r="52" spans="1:7" x14ac:dyDescent="0.2">
      <c r="A52" s="4">
        <f>IF(12&lt;=Perttm,12,"")</f>
        <v>12</v>
      </c>
      <c r="B52" s="6">
        <f t="shared" si="5"/>
        <v>1020</v>
      </c>
      <c r="C52" s="6">
        <f t="shared" si="6"/>
        <v>855.33257046507924</v>
      </c>
      <c r="E52" s="2" t="s">
        <v>32</v>
      </c>
      <c r="F52" s="12">
        <f>SUM(C40:C56)</f>
        <v>1097.9121299236122</v>
      </c>
      <c r="G52" s="4"/>
    </row>
    <row r="53" spans="1:7" x14ac:dyDescent="0.2">
      <c r="A53" s="4" t="str">
        <f>IF(13&lt;=Perttm,13,"")</f>
        <v/>
      </c>
      <c r="B53" s="6" t="str">
        <f t="shared" si="5"/>
        <v/>
      </c>
      <c r="C53" s="6" t="str">
        <f t="shared" si="6"/>
        <v/>
      </c>
      <c r="E53" s="4" t="s">
        <v>33</v>
      </c>
      <c r="F53" s="6">
        <f>bondprice</f>
        <v>812.29852479003227</v>
      </c>
      <c r="G53" s="4"/>
    </row>
    <row r="54" spans="1:7" x14ac:dyDescent="0.2">
      <c r="A54" s="4" t="str">
        <f>IF(14&lt;=Perttm,14,"")</f>
        <v/>
      </c>
      <c r="B54" s="6" t="str">
        <f t="shared" si="5"/>
        <v/>
      </c>
      <c r="C54" s="6" t="str">
        <f t="shared" si="6"/>
        <v/>
      </c>
      <c r="E54" s="4"/>
      <c r="F54" s="4"/>
      <c r="G54" s="4"/>
    </row>
    <row r="55" spans="1:7" x14ac:dyDescent="0.2">
      <c r="A55" s="4" t="str">
        <f>IF(15&lt;=Perttm,15,"")</f>
        <v/>
      </c>
      <c r="B55" s="6" t="str">
        <f t="shared" si="5"/>
        <v/>
      </c>
      <c r="C55" s="6" t="str">
        <f t="shared" si="6"/>
        <v/>
      </c>
      <c r="E55" s="4" t="s">
        <v>34</v>
      </c>
      <c r="F55" s="13">
        <f>(F52-F53)/F53</f>
        <v>0.3516116260427864</v>
      </c>
      <c r="G55" s="4"/>
    </row>
    <row r="56" spans="1:7" x14ac:dyDescent="0.2">
      <c r="A56" s="4" t="str">
        <f>IF(16&lt;=Perttm,16,"")</f>
        <v/>
      </c>
      <c r="B56" s="6" t="str">
        <f t="shared" si="5"/>
        <v/>
      </c>
      <c r="C56" s="14" t="str">
        <f t="shared" si="6"/>
        <v/>
      </c>
      <c r="E56" s="4" t="s">
        <v>35</v>
      </c>
      <c r="F56" s="15">
        <f>((1+F55)^(1/annholdPer))-1</f>
        <v>7.8233894118540093E-2</v>
      </c>
      <c r="G56" s="4" t="s">
        <v>36</v>
      </c>
    </row>
    <row r="59" spans="1:7" x14ac:dyDescent="0.2">
      <c r="A59" s="23" t="s">
        <v>37</v>
      </c>
      <c r="B59" s="22"/>
      <c r="C59" s="22"/>
      <c r="D59" s="22"/>
      <c r="E59" s="22"/>
    </row>
    <row r="61" spans="1:7" x14ac:dyDescent="0.2">
      <c r="B61" t="s">
        <v>38</v>
      </c>
      <c r="C61" t="s">
        <v>39</v>
      </c>
    </row>
    <row r="62" spans="1:7" x14ac:dyDescent="0.2">
      <c r="A62" t="s">
        <v>40</v>
      </c>
      <c r="B62" s="16">
        <f>durbond</f>
        <v>5.3107449968407288</v>
      </c>
      <c r="C62" s="7">
        <f>annholdPer/durbond</f>
        <v>0.7531899954487612</v>
      </c>
      <c r="E62" t="s">
        <v>41</v>
      </c>
    </row>
    <row r="63" spans="1:7" x14ac:dyDescent="0.2">
      <c r="A63" t="s">
        <v>42</v>
      </c>
      <c r="B63" s="16">
        <v>0</v>
      </c>
      <c r="C63" s="7">
        <f>1-C62</f>
        <v>0.2468100045512388</v>
      </c>
      <c r="E63" t="s">
        <v>43</v>
      </c>
    </row>
    <row r="64" spans="1:7" x14ac:dyDescent="0.2">
      <c r="A64" t="s">
        <v>44</v>
      </c>
      <c r="B64" s="16">
        <f>SUMPRODUCT(C62:C63,B62:B63)</f>
        <v>4</v>
      </c>
      <c r="C64" s="7">
        <f>SUM(C62:C63)</f>
        <v>1</v>
      </c>
      <c r="E64" t="s">
        <v>45</v>
      </c>
    </row>
    <row r="65" spans="1:5" x14ac:dyDescent="0.2">
      <c r="E65" s="16">
        <f>annholdPer/B62</f>
        <v>0.7531899954487612</v>
      </c>
    </row>
    <row r="68" spans="1:5" x14ac:dyDescent="0.2">
      <c r="A68" t="s">
        <v>3</v>
      </c>
      <c r="B68" t="s">
        <v>46</v>
      </c>
      <c r="C68" t="s">
        <v>47</v>
      </c>
      <c r="D68" t="s">
        <v>48</v>
      </c>
      <c r="E68" t="s">
        <v>49</v>
      </c>
    </row>
    <row r="69" spans="1:5" x14ac:dyDescent="0.2">
      <c r="A69">
        <f>IF(0&lt;=Perttm,0,"")</f>
        <v>0</v>
      </c>
      <c r="B69" s="8">
        <f t="shared" ref="B69:B85" si="7">IF(A69="","",IF(A69=0,0,IF(A69&lt;Perttm,Percprate*PArval*wbond,(Percprate*PArval+PArval)*wbond)))</f>
        <v>0</v>
      </c>
      <c r="C69" s="8">
        <f t="shared" ref="C69:C85" si="8">IF(A69="","",IF(A69=0,(1-wbond)*bondprice,0))</f>
        <v>200.48340260039242</v>
      </c>
      <c r="D69" s="8">
        <f t="shared" ref="D69:D85" si="9">IF(A69="","",B69+C69)</f>
        <v>200.48340260039242</v>
      </c>
      <c r="E69" s="8">
        <f t="shared" ref="E69:E85" si="10">IF(A69="","",D69/((1+Pernewytm)^(A69-Perholdper)))</f>
        <v>285.10756970158627</v>
      </c>
    </row>
    <row r="70" spans="1:5" x14ac:dyDescent="0.2">
      <c r="A70">
        <f>IF(1&lt;=Perttm,1,"")</f>
        <v>1</v>
      </c>
      <c r="B70" s="8">
        <f t="shared" si="7"/>
        <v>15.063799908975223</v>
      </c>
      <c r="C70" s="8">
        <f t="shared" si="8"/>
        <v>0</v>
      </c>
      <c r="D70" s="8">
        <f t="shared" si="9"/>
        <v>15.063799908975223</v>
      </c>
      <c r="E70" s="8">
        <f t="shared" si="10"/>
        <v>20.49975031789636</v>
      </c>
    </row>
    <row r="71" spans="1:5" x14ac:dyDescent="0.2">
      <c r="A71">
        <f>IF(2&lt;=Perttm,2,"")</f>
        <v>2</v>
      </c>
      <c r="B71" s="8">
        <f t="shared" si="7"/>
        <v>15.063799908975223</v>
      </c>
      <c r="C71" s="8">
        <f t="shared" si="8"/>
        <v>0</v>
      </c>
      <c r="D71" s="8">
        <f t="shared" si="9"/>
        <v>15.063799908975223</v>
      </c>
      <c r="E71" s="8">
        <f t="shared" si="10"/>
        <v>19.616985950140055</v>
      </c>
    </row>
    <row r="72" spans="1:5" x14ac:dyDescent="0.2">
      <c r="A72">
        <f>IF(3&lt;=Perttm,3,"")</f>
        <v>3</v>
      </c>
      <c r="B72" s="8">
        <f t="shared" si="7"/>
        <v>15.063799908975223</v>
      </c>
      <c r="C72" s="8">
        <f t="shared" si="8"/>
        <v>0</v>
      </c>
      <c r="D72" s="8">
        <f t="shared" si="9"/>
        <v>15.063799908975223</v>
      </c>
      <c r="E72" s="8">
        <f t="shared" si="10"/>
        <v>18.772235358985704</v>
      </c>
    </row>
    <row r="73" spans="1:5" x14ac:dyDescent="0.2">
      <c r="A73" s="20">
        <f>IF(4&lt;=Perttm,4,"")</f>
        <v>4</v>
      </c>
      <c r="B73" s="8">
        <f t="shared" si="7"/>
        <v>15.063799908975223</v>
      </c>
      <c r="C73" s="8">
        <f t="shared" si="8"/>
        <v>0</v>
      </c>
      <c r="D73" s="8">
        <f t="shared" si="9"/>
        <v>15.063799908975223</v>
      </c>
      <c r="E73" s="8">
        <f t="shared" si="10"/>
        <v>17.963861587546127</v>
      </c>
    </row>
    <row r="74" spans="1:5" x14ac:dyDescent="0.2">
      <c r="A74">
        <f>IF(5&lt;=Perttm,5,"")</f>
        <v>5</v>
      </c>
      <c r="B74" s="8">
        <f t="shared" si="7"/>
        <v>15.063799908975223</v>
      </c>
      <c r="C74" s="8">
        <f t="shared" si="8"/>
        <v>0</v>
      </c>
      <c r="D74" s="8">
        <f t="shared" si="9"/>
        <v>15.063799908975223</v>
      </c>
      <c r="E74" s="8">
        <f t="shared" si="10"/>
        <v>17.190298169900608</v>
      </c>
    </row>
    <row r="75" spans="1:5" x14ac:dyDescent="0.2">
      <c r="A75">
        <f>IF(6&lt;=Perttm,6,"")</f>
        <v>6</v>
      </c>
      <c r="B75" s="8">
        <f t="shared" si="7"/>
        <v>15.063799908975223</v>
      </c>
      <c r="C75" s="8">
        <f t="shared" si="8"/>
        <v>0</v>
      </c>
      <c r="D75" s="8">
        <f t="shared" si="9"/>
        <v>15.063799908975223</v>
      </c>
      <c r="E75" s="8">
        <f t="shared" si="10"/>
        <v>16.450046095598665</v>
      </c>
    </row>
    <row r="76" spans="1:5" x14ac:dyDescent="0.2">
      <c r="A76">
        <f>IF(7&lt;=Perttm,7,"")</f>
        <v>7</v>
      </c>
      <c r="B76" s="8">
        <f t="shared" si="7"/>
        <v>15.063799908975223</v>
      </c>
      <c r="C76" s="8">
        <f t="shared" si="8"/>
        <v>0</v>
      </c>
      <c r="D76" s="8">
        <f t="shared" si="9"/>
        <v>15.063799908975223</v>
      </c>
      <c r="E76" s="8">
        <f t="shared" si="10"/>
        <v>15.741670904879106</v>
      </c>
    </row>
    <row r="77" spans="1:5" x14ac:dyDescent="0.2">
      <c r="A77" s="1">
        <f>IF(8&lt;=Perttm,8,"")</f>
        <v>8</v>
      </c>
      <c r="B77" s="8">
        <f t="shared" si="7"/>
        <v>15.063799908975223</v>
      </c>
      <c r="C77" s="8">
        <f t="shared" si="8"/>
        <v>0</v>
      </c>
      <c r="D77" s="8">
        <f t="shared" si="9"/>
        <v>15.063799908975223</v>
      </c>
      <c r="E77" s="8">
        <f t="shared" si="10"/>
        <v>15.063799908975223</v>
      </c>
    </row>
    <row r="78" spans="1:5" x14ac:dyDescent="0.2">
      <c r="A78">
        <f>IF(9&lt;=Perttm,9,"")</f>
        <v>9</v>
      </c>
      <c r="B78" s="8">
        <f t="shared" si="7"/>
        <v>15.063799908975223</v>
      </c>
      <c r="C78" s="8">
        <f t="shared" si="8"/>
        <v>0</v>
      </c>
      <c r="D78" s="8">
        <f t="shared" si="9"/>
        <v>15.063799908975223</v>
      </c>
      <c r="E78" s="8">
        <f t="shared" si="10"/>
        <v>14.415119530119831</v>
      </c>
    </row>
    <row r="79" spans="1:5" x14ac:dyDescent="0.2">
      <c r="A79">
        <f>IF(10&lt;=Perttm,10,"")</f>
        <v>10</v>
      </c>
      <c r="B79" s="8">
        <f t="shared" si="7"/>
        <v>15.063799908975223</v>
      </c>
      <c r="C79" s="8">
        <f t="shared" si="8"/>
        <v>0</v>
      </c>
      <c r="D79" s="8">
        <f t="shared" si="9"/>
        <v>15.063799908975223</v>
      </c>
      <c r="E79" s="8">
        <f t="shared" si="10"/>
        <v>13.794372756095534</v>
      </c>
    </row>
    <row r="80" spans="1:5" x14ac:dyDescent="0.2">
      <c r="A80" s="4">
        <f>IF(11&lt;=Perttm,11,"")</f>
        <v>11</v>
      </c>
      <c r="B80" s="6">
        <f t="shared" si="7"/>
        <v>15.063799908975223</v>
      </c>
      <c r="C80" s="6">
        <f t="shared" si="8"/>
        <v>0</v>
      </c>
      <c r="D80" s="6">
        <f t="shared" si="9"/>
        <v>15.063799908975223</v>
      </c>
      <c r="E80" s="6">
        <f t="shared" si="10"/>
        <v>13.20035670439764</v>
      </c>
    </row>
    <row r="81" spans="1:7" x14ac:dyDescent="0.2">
      <c r="A81" s="4">
        <f>IF(12&lt;=Perttm,12,"")</f>
        <v>12</v>
      </c>
      <c r="B81" s="6">
        <f t="shared" si="7"/>
        <v>768.25379535773641</v>
      </c>
      <c r="C81" s="6">
        <f t="shared" si="8"/>
        <v>0</v>
      </c>
      <c r="D81" s="6">
        <f t="shared" si="9"/>
        <v>768.25379535773641</v>
      </c>
      <c r="E81" s="6">
        <f t="shared" si="10"/>
        <v>644.22793485577017</v>
      </c>
      <c r="F81" s="4" t="s">
        <v>50</v>
      </c>
      <c r="G81" s="6">
        <f>SUM(E69:E85)</f>
        <v>1112.0440018418913</v>
      </c>
    </row>
    <row r="82" spans="1:7" x14ac:dyDescent="0.2">
      <c r="A82" s="4" t="str">
        <f>IF(13&lt;=Perttm,13,"")</f>
        <v/>
      </c>
      <c r="B82" s="6" t="str">
        <f t="shared" si="7"/>
        <v/>
      </c>
      <c r="C82" s="6" t="str">
        <f t="shared" si="8"/>
        <v/>
      </c>
      <c r="D82" s="6" t="str">
        <f t="shared" si="9"/>
        <v/>
      </c>
      <c r="E82" s="6" t="str">
        <f t="shared" si="10"/>
        <v/>
      </c>
      <c r="F82" s="4" t="s">
        <v>51</v>
      </c>
      <c r="G82" s="6">
        <f>bondprice</f>
        <v>812.29852479003227</v>
      </c>
    </row>
    <row r="83" spans="1:7" x14ac:dyDescent="0.2">
      <c r="A83" s="4" t="str">
        <f>IF(14&lt;=Perttm,14,"")</f>
        <v/>
      </c>
      <c r="B83" s="6" t="str">
        <f t="shared" si="7"/>
        <v/>
      </c>
      <c r="C83" s="6" t="str">
        <f t="shared" si="8"/>
        <v/>
      </c>
      <c r="D83" s="6" t="str">
        <f t="shared" si="9"/>
        <v/>
      </c>
      <c r="E83" s="6" t="str">
        <f t="shared" si="10"/>
        <v/>
      </c>
      <c r="F83" s="4"/>
      <c r="G83" s="4"/>
    </row>
    <row r="84" spans="1:7" x14ac:dyDescent="0.2">
      <c r="A84" s="4" t="str">
        <f>IF(15&lt;=Perttm,15,"")</f>
        <v/>
      </c>
      <c r="B84" s="6" t="str">
        <f t="shared" si="7"/>
        <v/>
      </c>
      <c r="C84" s="6" t="str">
        <f t="shared" si="8"/>
        <v/>
      </c>
      <c r="D84" s="6" t="str">
        <f t="shared" si="9"/>
        <v/>
      </c>
      <c r="E84" s="14" t="str">
        <f t="shared" si="10"/>
        <v/>
      </c>
      <c r="F84" s="4" t="s">
        <v>34</v>
      </c>
      <c r="G84" s="15">
        <f>(G81-G82)/G82</f>
        <v>0.36900901319418122</v>
      </c>
    </row>
    <row r="85" spans="1:7" x14ac:dyDescent="0.2">
      <c r="A85" s="4" t="str">
        <f>IF(16&lt;=Perttm,16,"")</f>
        <v/>
      </c>
      <c r="B85" s="6" t="str">
        <f t="shared" si="7"/>
        <v/>
      </c>
      <c r="C85" s="6" t="str">
        <f t="shared" si="8"/>
        <v/>
      </c>
      <c r="D85" s="6" t="str">
        <f t="shared" si="9"/>
        <v/>
      </c>
      <c r="E85" s="14" t="str">
        <f t="shared" si="10"/>
        <v/>
      </c>
      <c r="F85" s="4" t="s">
        <v>35</v>
      </c>
      <c r="G85" s="15">
        <f>(1+G84)^(1/annholdPer)-1</f>
        <v>8.1686916768278328E-2</v>
      </c>
    </row>
  </sheetData>
  <mergeCells count="3">
    <mergeCell ref="A34:E34"/>
    <mergeCell ref="A59:E59"/>
    <mergeCell ref="A14:E1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HW2+</vt:lpstr>
      <vt:lpstr>anndely</vt:lpstr>
      <vt:lpstr>annholdPer</vt:lpstr>
      <vt:lpstr>annttm</vt:lpstr>
      <vt:lpstr>annytm</vt:lpstr>
      <vt:lpstr>bondprice</vt:lpstr>
      <vt:lpstr>durbond</vt:lpstr>
      <vt:lpstr>oldytm</vt:lpstr>
      <vt:lpstr>PArval</vt:lpstr>
      <vt:lpstr>Percprate</vt:lpstr>
      <vt:lpstr>Perholdper</vt:lpstr>
      <vt:lpstr>Pernewytm</vt:lpstr>
      <vt:lpstr>Perttm</vt:lpstr>
      <vt:lpstr>Perytm</vt:lpstr>
      <vt:lpstr>wbond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Mergel, Julia</dc:creator>
  <cp:keywords/>
  <dc:description/>
  <cp:lastModifiedBy>Valugubelly, Druvakumar</cp:lastModifiedBy>
  <cp:revision/>
  <dcterms:created xsi:type="dcterms:W3CDTF">2026-07-21T22:57:54Z</dcterms:created>
  <dcterms:modified xsi:type="dcterms:W3CDTF">2026-07-26T20:33:46Z</dcterms:modified>
  <cp:category/>
  <cp:contentStatus/>
</cp:coreProperties>
</file>